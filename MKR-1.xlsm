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Ксения\Desktop\ХОЧУ ЛЮБВИ\УЁБА\6 семак\МСС\"/>
    </mc:Choice>
  </mc:AlternateContent>
  <xr:revisionPtr revIDLastSave="0" documentId="13_ncr:1_{F748D80B-40EC-4061-A389-EDFDECBA9540}" xr6:coauthVersionLast="46" xr6:coauthVersionMax="46" xr10:uidLastSave="{00000000-0000-0000-0000-000000000000}"/>
  <bookViews>
    <workbookView xWindow="-120" yWindow="-120" windowWidth="20730" windowHeight="11160" activeTab="2" xr2:uid="{00000000-000D-0000-FFFF-FFFF00000000}"/>
  </bookViews>
  <sheets>
    <sheet name="Лист1" sheetId="1" r:id="rId1"/>
    <sheet name="Лист2" sheetId="3" r:id="rId2"/>
    <sheet name="Лист3" sheetId="2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8" i="2" l="1"/>
  <c r="AG18" i="2"/>
  <c r="AD18" i="2"/>
  <c r="AC18" i="2"/>
  <c r="Z18" i="2"/>
  <c r="Y18" i="2"/>
  <c r="V18" i="2"/>
  <c r="U18" i="2"/>
  <c r="R18" i="2"/>
  <c r="Q18" i="2"/>
  <c r="N18" i="2"/>
  <c r="M18" i="2"/>
  <c r="J18" i="2"/>
  <c r="I18" i="2"/>
  <c r="F18" i="2"/>
  <c r="AH17" i="2"/>
  <c r="AG17" i="2"/>
  <c r="AD17" i="2"/>
  <c r="AC17" i="2"/>
  <c r="Z17" i="2"/>
  <c r="Y17" i="2"/>
  <c r="V17" i="2"/>
  <c r="U17" i="2"/>
  <c r="R17" i="2"/>
  <c r="Q17" i="2"/>
  <c r="N17" i="2"/>
  <c r="M17" i="2"/>
  <c r="J17" i="2"/>
  <c r="I17" i="2"/>
  <c r="F14" i="2"/>
  <c r="G18" i="2" s="1"/>
  <c r="H13" i="2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Y13" i="2" s="1"/>
  <c r="Z13" i="2" s="1"/>
  <c r="AA13" i="2" s="1"/>
  <c r="AB13" i="2" s="1"/>
  <c r="AC13" i="2" s="1"/>
  <c r="AD13" i="2" s="1"/>
  <c r="AE13" i="2" s="1"/>
  <c r="AF13" i="2" s="1"/>
  <c r="AG13" i="2" s="1"/>
  <c r="AH13" i="2" s="1"/>
  <c r="AI13" i="2" s="1"/>
  <c r="AJ13" i="2" s="1"/>
  <c r="G13" i="2"/>
  <c r="C4" i="2"/>
  <c r="AJ18" i="2" s="1"/>
  <c r="G17" i="2" l="1"/>
  <c r="K17" i="2"/>
  <c r="O17" i="2"/>
  <c r="S17" i="2"/>
  <c r="W17" i="2"/>
  <c r="AA17" i="2"/>
  <c r="AE17" i="2"/>
  <c r="AI17" i="2"/>
  <c r="K18" i="2"/>
  <c r="O18" i="2"/>
  <c r="S18" i="2"/>
  <c r="W18" i="2"/>
  <c r="AA18" i="2"/>
  <c r="AE18" i="2"/>
  <c r="AI18" i="2"/>
  <c r="H17" i="2"/>
  <c r="L17" i="2"/>
  <c r="P17" i="2"/>
  <c r="T17" i="2"/>
  <c r="X17" i="2"/>
  <c r="AB17" i="2"/>
  <c r="AF17" i="2"/>
  <c r="AJ17" i="2"/>
  <c r="H18" i="2"/>
  <c r="L18" i="2"/>
  <c r="P18" i="2"/>
  <c r="T18" i="2"/>
  <c r="X18" i="2"/>
  <c r="AB18" i="2"/>
  <c r="AF18" i="2"/>
  <c r="F18" i="3" l="1"/>
  <c r="F14" i="3" s="1"/>
  <c r="G18" i="3" s="1"/>
  <c r="I13" i="3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H13" i="3"/>
  <c r="G13" i="3"/>
  <c r="C4" i="3"/>
  <c r="AI18" i="3" s="1"/>
  <c r="G17" i="3" l="1"/>
  <c r="K17" i="3"/>
  <c r="S17" i="3"/>
  <c r="W17" i="3"/>
  <c r="AA17" i="3"/>
  <c r="AE17" i="3"/>
  <c r="AI17" i="3"/>
  <c r="H18" i="3"/>
  <c r="L18" i="3"/>
  <c r="P18" i="3"/>
  <c r="T18" i="3"/>
  <c r="X18" i="3"/>
  <c r="AB18" i="3"/>
  <c r="AF18" i="3"/>
  <c r="H17" i="3"/>
  <c r="L17" i="3"/>
  <c r="P17" i="3"/>
  <c r="T17" i="3"/>
  <c r="X17" i="3"/>
  <c r="AB17" i="3"/>
  <c r="AF17" i="3"/>
  <c r="I18" i="3"/>
  <c r="M18" i="3"/>
  <c r="Q18" i="3"/>
  <c r="U18" i="3"/>
  <c r="Y18" i="3"/>
  <c r="AC18" i="3"/>
  <c r="AG18" i="3"/>
  <c r="O17" i="3"/>
  <c r="I17" i="3"/>
  <c r="M17" i="3"/>
  <c r="Q17" i="3"/>
  <c r="U17" i="3"/>
  <c r="Y17" i="3"/>
  <c r="AC17" i="3"/>
  <c r="AG17" i="3"/>
  <c r="J18" i="3"/>
  <c r="N18" i="3"/>
  <c r="R18" i="3"/>
  <c r="V18" i="3"/>
  <c r="Z18" i="3"/>
  <c r="AD18" i="3"/>
  <c r="AH18" i="3"/>
  <c r="J17" i="3"/>
  <c r="N17" i="3"/>
  <c r="R17" i="3"/>
  <c r="V17" i="3"/>
  <c r="Z17" i="3"/>
  <c r="AD17" i="3"/>
  <c r="AH17" i="3"/>
  <c r="K18" i="3"/>
  <c r="O18" i="3"/>
  <c r="S18" i="3"/>
  <c r="W18" i="3"/>
  <c r="AA18" i="3"/>
  <c r="AE18" i="3"/>
  <c r="F15" i="1" l="1"/>
  <c r="AJ15" i="1"/>
  <c r="H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I15" i="1"/>
  <c r="J15" i="1"/>
  <c r="K15" i="1"/>
  <c r="L15" i="1"/>
  <c r="M15" i="1"/>
  <c r="G15" i="1"/>
  <c r="C5" i="1"/>
  <c r="AJ13" i="1"/>
  <c r="X12" i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H12" i="1"/>
  <c r="G12" i="1"/>
  <c r="C4" i="1"/>
</calcChain>
</file>

<file path=xl/sharedStrings.xml><?xml version="1.0" encoding="utf-8"?>
<sst xmlns="http://schemas.openxmlformats.org/spreadsheetml/2006/main" count="40" uniqueCount="19">
  <si>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</si>
  <si>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</si>
  <si>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</si>
  <si>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</si>
  <si>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</si>
  <si>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</si>
  <si>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</si>
  <si>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</si>
  <si>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</si>
  <si>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</si>
  <si>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Ti</t>
  </si>
  <si>
    <t xml:space="preserve">Для 4 рода сталь + алюминий </t>
  </si>
  <si>
    <t>q</t>
  </si>
  <si>
    <t>lambda</t>
  </si>
  <si>
    <t>Q_start</t>
  </si>
  <si>
    <t>T_iter</t>
  </si>
  <si>
    <t>T_gas</t>
  </si>
  <si>
    <t>a</t>
  </si>
  <si>
    <t>a(Tw-Tg)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</si>
</sst>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/>
    <xf numFmtId="0" fontId="0" fillId="0" borderId="3" xfId="0" applyBorder="1"/>
    <xf numFmtId="2" fontId="0" fillId="0" borderId="3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1" xfId="0" applyFill="1" applyBorder="1"/>
    <xf numFmtId="0" fontId="0" fillId="5" borderId="1" xfId="0" applyFill="1" applyBorder="1"/>
    <xf numFmtId="0" fontId="0" fillId="3" borderId="1" xfId="0" applyFill="1" applyBorder="1"/>
    <xf numFmtId="0" fontId="0" fillId="2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293.25441486316311</c:v>
                </c:pt>
                <c:pt idx="2">
                  <c:v>286.51055428430391</c:v>
                </c:pt>
                <c:pt idx="3">
                  <c:v>279.76669370544471</c:v>
                </c:pt>
                <c:pt idx="4">
                  <c:v>273.02793142904954</c:v>
                </c:pt>
                <c:pt idx="5">
                  <c:v>266.28916915265444</c:v>
                </c:pt>
                <c:pt idx="6">
                  <c:v>259.55865610289931</c:v>
                </c:pt>
                <c:pt idx="7">
                  <c:v>252.82814305314417</c:v>
                </c:pt>
                <c:pt idx="8">
                  <c:v>246.10866962337485</c:v>
                </c:pt>
                <c:pt idx="9">
                  <c:v>239.38919619360553</c:v>
                </c:pt>
                <c:pt idx="10">
                  <c:v>232.68307029275243</c:v>
                </c:pt>
                <c:pt idx="11">
                  <c:v>225.97694439189934</c:v>
                </c:pt>
                <c:pt idx="12">
                  <c:v>219.28589057778473</c:v>
                </c:pt>
                <c:pt idx="13">
                  <c:v>212.59483676367012</c:v>
                </c:pt>
                <c:pt idx="14">
                  <c:v>205.91992087156609</c:v>
                </c:pt>
                <c:pt idx="15">
                  <c:v>199.24500497946207</c:v>
                </c:pt>
                <c:pt idx="16">
                  <c:v>192.58658753999083</c:v>
                </c:pt>
                <c:pt idx="17">
                  <c:v>185.92817010051957</c:v>
                </c:pt>
                <c:pt idx="18">
                  <c:v>179.28589058275492</c:v>
                </c:pt>
                <c:pt idx="19">
                  <c:v>172.64361106499024</c:v>
                </c:pt>
                <c:pt idx="20">
                  <c:v>166.01640363340866</c:v>
                </c:pt>
                <c:pt idx="21">
                  <c:v>159.38919620182708</c:v>
                </c:pt>
                <c:pt idx="22">
                  <c:v>152.77533629845095</c:v>
                </c:pt>
                <c:pt idx="23">
                  <c:v>146.1614763950748</c:v>
                </c:pt>
                <c:pt idx="24">
                  <c:v>139.55865611094117</c:v>
                </c:pt>
                <c:pt idx="25">
                  <c:v>132.95583582680757</c:v>
                </c:pt>
                <c:pt idx="26">
                  <c:v>126.36126476866674</c:v>
                </c:pt>
                <c:pt idx="27">
                  <c:v>119.76669371052591</c:v>
                </c:pt>
                <c:pt idx="28">
                  <c:v>113.17722095440985</c:v>
                </c:pt>
                <c:pt idx="29">
                  <c:v>106.58774819829377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5B-480F-AD17-4FCED9F34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692560"/>
        <c:axId val="860680080"/>
      </c:scatterChart>
      <c:valAx>
        <c:axId val="86069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0680080"/>
        <c:crosses val="autoZero"/>
        <c:crossBetween val="midCat"/>
      </c:valAx>
      <c:valAx>
        <c:axId val="86068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069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571062992125984"/>
          <c:y val="0.18115420948965752"/>
          <c:w val="0.74167125984251991"/>
          <c:h val="0.688805039619327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[1]Лист2!$E$14</c:f>
              <c:strCache>
                <c:ptCount val="1"/>
                <c:pt idx="0">
                  <c:v>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[1]Лист2!$F$13:$AJ$13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0.433</c:v>
                </c:pt>
                <c:pt idx="2">
                  <c:v>0.86599999999999999</c:v>
                </c:pt>
                <c:pt idx="3">
                  <c:v>1.2989999999999999</c:v>
                </c:pt>
                <c:pt idx="4">
                  <c:v>1.732</c:v>
                </c:pt>
                <c:pt idx="5">
                  <c:v>2.165</c:v>
                </c:pt>
                <c:pt idx="6">
                  <c:v>2.5979999999999999</c:v>
                </c:pt>
                <c:pt idx="7">
                  <c:v>3.0309999999999997</c:v>
                </c:pt>
                <c:pt idx="8">
                  <c:v>3.4639999999999995</c:v>
                </c:pt>
                <c:pt idx="9">
                  <c:v>3.8969999999999994</c:v>
                </c:pt>
                <c:pt idx="10">
                  <c:v>4.3299999999999992</c:v>
                </c:pt>
                <c:pt idx="11">
                  <c:v>4.762999999999999</c:v>
                </c:pt>
                <c:pt idx="12">
                  <c:v>5.1959999999999988</c:v>
                </c:pt>
                <c:pt idx="13">
                  <c:v>5.6289999999999987</c:v>
                </c:pt>
                <c:pt idx="14">
                  <c:v>6.0619999999999985</c:v>
                </c:pt>
                <c:pt idx="15">
                  <c:v>6.4949999999999983</c:v>
                </c:pt>
                <c:pt idx="16">
                  <c:v>6.9279999999999982</c:v>
                </c:pt>
                <c:pt idx="17">
                  <c:v>7.360999999999998</c:v>
                </c:pt>
                <c:pt idx="18">
                  <c:v>7.7939999999999978</c:v>
                </c:pt>
                <c:pt idx="19">
                  <c:v>8.2269999999999985</c:v>
                </c:pt>
                <c:pt idx="20">
                  <c:v>8.6599999999999984</c:v>
                </c:pt>
                <c:pt idx="21">
                  <c:v>9.0929999999999982</c:v>
                </c:pt>
                <c:pt idx="22">
                  <c:v>9.525999999999998</c:v>
                </c:pt>
                <c:pt idx="23">
                  <c:v>9.9589999999999979</c:v>
                </c:pt>
                <c:pt idx="24">
                  <c:v>10.391999999999998</c:v>
                </c:pt>
                <c:pt idx="25">
                  <c:v>10.824999999999998</c:v>
                </c:pt>
                <c:pt idx="26">
                  <c:v>11.257999999999997</c:v>
                </c:pt>
                <c:pt idx="27">
                  <c:v>11.690999999999997</c:v>
                </c:pt>
                <c:pt idx="28">
                  <c:v>12.123999999999997</c:v>
                </c:pt>
                <c:pt idx="29">
                  <c:v>12.556999999999997</c:v>
                </c:pt>
                <c:pt idx="30" formatCode="General">
                  <c:v>12.989999999999997</c:v>
                </c:pt>
              </c:numCache>
            </c:numRef>
          </c:xVal>
          <c:yVal>
            <c:numRef>
              <c:f>[1]Лист2!$F$14:$AJ$14</c:f>
              <c:numCache>
                <c:formatCode>General</c:formatCode>
                <c:ptCount val="31"/>
                <c:pt idx="0">
                  <c:v>299.99997763459675</c:v>
                </c:pt>
                <c:pt idx="1">
                  <c:v>293.33331096793006</c:v>
                </c:pt>
                <c:pt idx="2">
                  <c:v>286.66664436466061</c:v>
                </c:pt>
                <c:pt idx="3">
                  <c:v>279.99997782460849</c:v>
                </c:pt>
                <c:pt idx="4">
                  <c:v>273.33331134741508</c:v>
                </c:pt>
                <c:pt idx="5">
                  <c:v>266.66664493254297</c:v>
                </c:pt>
                <c:pt idx="6">
                  <c:v>259.99997857927877</c:v>
                </c:pt>
                <c:pt idx="7">
                  <c:v>253.33331228673376</c:v>
                </c:pt>
                <c:pt idx="8">
                  <c:v>246.66664605384776</c:v>
                </c:pt>
                <c:pt idx="9">
                  <c:v>239.99997987939091</c:v>
                </c:pt>
                <c:pt idx="10">
                  <c:v>233.33331376196827</c:v>
                </c:pt>
                <c:pt idx="11">
                  <c:v>226.66664770002262</c:v>
                </c:pt>
                <c:pt idx="12">
                  <c:v>219.99998169184016</c:v>
                </c:pt>
                <c:pt idx="13">
                  <c:v>213.33331573555401</c:v>
                </c:pt>
                <c:pt idx="14">
                  <c:v>206.66664982915083</c:v>
                </c:pt>
                <c:pt idx="15">
                  <c:v>199.99998397047526</c:v>
                </c:pt>
                <c:pt idx="16">
                  <c:v>193.33331815723727</c:v>
                </c:pt>
                <c:pt idx="17">
                  <c:v>186.66665238701742</c:v>
                </c:pt>
                <c:pt idx="18">
                  <c:v>179.99998665727495</c:v>
                </c:pt>
                <c:pt idx="19">
                  <c:v>173.33332096535372</c:v>
                </c:pt>
                <c:pt idx="20">
                  <c:v>166.66665530849104</c:v>
                </c:pt>
                <c:pt idx="21">
                  <c:v>159.9999896838242</c:v>
                </c:pt>
                <c:pt idx="22">
                  <c:v>153.33332408839982</c:v>
                </c:pt>
                <c:pt idx="23">
                  <c:v>146.66665851918108</c:v>
                </c:pt>
                <c:pt idx="24">
                  <c:v>139.99999297305737</c:v>
                </c:pt>
                <c:pt idx="25">
                  <c:v>133.33332744685219</c:v>
                </c:pt>
                <c:pt idx="26">
                  <c:v>126.666661937333</c:v>
                </c:pt>
                <c:pt idx="27">
                  <c:v>119.99999644121954</c:v>
                </c:pt>
                <c:pt idx="28">
                  <c:v>113.33333095519386</c:v>
                </c:pt>
                <c:pt idx="29">
                  <c:v>106.66666547590927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7-4048-B349-4B861313F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72032"/>
        <c:axId val="106992000"/>
      </c:scatterChart>
      <c:valAx>
        <c:axId val="10657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6992000"/>
        <c:crosses val="autoZero"/>
        <c:crossBetween val="midCat"/>
      </c:valAx>
      <c:valAx>
        <c:axId val="10699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657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[1]Лист3!$E$13:$AI$13</c:f>
              <c:strCache>
                <c:ptCount val="31"/>
                <c:pt idx="0">
                  <c:v>L</c:v>
                </c:pt>
                <c:pt idx="1">
                  <c:v>0</c:v>
                </c:pt>
                <c:pt idx="2">
                  <c:v>0,43</c:v>
                </c:pt>
                <c:pt idx="3">
                  <c:v>0,87</c:v>
                </c:pt>
                <c:pt idx="4">
                  <c:v>1,30</c:v>
                </c:pt>
                <c:pt idx="5">
                  <c:v>1,73</c:v>
                </c:pt>
                <c:pt idx="6">
                  <c:v>2,17</c:v>
                </c:pt>
                <c:pt idx="7">
                  <c:v>2,60</c:v>
                </c:pt>
                <c:pt idx="8">
                  <c:v>3,03</c:v>
                </c:pt>
                <c:pt idx="9">
                  <c:v>3,46</c:v>
                </c:pt>
                <c:pt idx="10">
                  <c:v>3,90</c:v>
                </c:pt>
                <c:pt idx="11">
                  <c:v>4,33</c:v>
                </c:pt>
                <c:pt idx="12">
                  <c:v>4,76</c:v>
                </c:pt>
                <c:pt idx="13">
                  <c:v>5,20</c:v>
                </c:pt>
                <c:pt idx="14">
                  <c:v>5,63</c:v>
                </c:pt>
                <c:pt idx="15">
                  <c:v>6,06</c:v>
                </c:pt>
                <c:pt idx="16">
                  <c:v>6,50</c:v>
                </c:pt>
                <c:pt idx="17">
                  <c:v>6,93</c:v>
                </c:pt>
                <c:pt idx="18">
                  <c:v>7,36</c:v>
                </c:pt>
                <c:pt idx="19">
                  <c:v>7,79</c:v>
                </c:pt>
                <c:pt idx="20">
                  <c:v>8,23</c:v>
                </c:pt>
                <c:pt idx="21">
                  <c:v>8,66</c:v>
                </c:pt>
                <c:pt idx="22">
                  <c:v>9,09</c:v>
                </c:pt>
                <c:pt idx="23">
                  <c:v>9,53</c:v>
                </c:pt>
                <c:pt idx="24">
                  <c:v>9,96</c:v>
                </c:pt>
                <c:pt idx="25">
                  <c:v>10,39</c:v>
                </c:pt>
                <c:pt idx="26">
                  <c:v>10,83</c:v>
                </c:pt>
                <c:pt idx="27">
                  <c:v>11,26</c:v>
                </c:pt>
                <c:pt idx="28">
                  <c:v>11,69</c:v>
                </c:pt>
                <c:pt idx="29">
                  <c:v>12,12</c:v>
                </c:pt>
                <c:pt idx="30">
                  <c:v>12,56</c:v>
                </c:pt>
              </c:strCache>
            </c:strRef>
          </c:xVal>
          <c:yVal>
            <c:numRef>
              <c:f>[1]Лист3!$E$14:$AI$14</c:f>
              <c:numCache>
                <c:formatCode>General</c:formatCode>
                <c:ptCount val="31"/>
                <c:pt idx="0">
                  <c:v>0</c:v>
                </c:pt>
                <c:pt idx="1">
                  <c:v>1.8260869565217392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EC-4C4F-A1FC-90C42B966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19872"/>
        <c:axId val="110328064"/>
      </c:scatterChart>
      <c:valAx>
        <c:axId val="11031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28064"/>
        <c:crosses val="autoZero"/>
        <c:crossBetween val="midCat"/>
      </c:valAx>
      <c:valAx>
        <c:axId val="11032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1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16807</xdr:colOff>
      <xdr:row>15</xdr:row>
      <xdr:rowOff>186018</xdr:rowOff>
    </xdr:from>
    <xdr:to>
      <xdr:col>13</xdr:col>
      <xdr:colOff>598714</xdr:colOff>
      <xdr:row>31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6064559-B413-40C1-811F-A6CCF5217B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602012</xdr:colOff>
      <xdr:row>19</xdr:row>
      <xdr:rowOff>3299</xdr:rowOff>
    </xdr:from>
    <xdr:to>
      <xdr:col>13</xdr:col>
      <xdr:colOff>606135</xdr:colOff>
      <xdr:row>37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806E960-67A8-44D1-9DD4-279FCA67C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604156</xdr:colOff>
      <xdr:row>18</xdr:row>
      <xdr:rowOff>185964</xdr:rowOff>
    </xdr:from>
    <xdr:to>
      <xdr:col>14</xdr:col>
      <xdr:colOff>95249</xdr:colOff>
      <xdr:row>35</xdr:row>
      <xdr:rowOff>176893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2E566FA-6522-402A-89E8-7BA4E0967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0;&#1089;&#1077;&#1085;&#1080;&#1103;/Downloads/MCC_1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иаграмма1"/>
      <sheetName val="Лист1"/>
      <sheetName val="Лист2"/>
      <sheetName val="Лист3"/>
    </sheetNames>
    <sheetDataSet>
      <sheetData sheetId="1"/>
      <sheetData sheetId="2">
        <row r="13">
          <cell r="F13">
            <v>0</v>
          </cell>
          <cell r="G13">
            <v>0.433</v>
          </cell>
          <cell r="H13">
            <v>0.86599999999999999</v>
          </cell>
          <cell r="I13">
            <v>1.2989999999999999</v>
          </cell>
          <cell r="J13">
            <v>1.732</v>
          </cell>
          <cell r="K13">
            <v>2.165</v>
          </cell>
          <cell r="L13">
            <v>2.5979999999999999</v>
          </cell>
          <cell r="M13">
            <v>3.0309999999999997</v>
          </cell>
          <cell r="N13">
            <v>3.4639999999999995</v>
          </cell>
          <cell r="O13">
            <v>3.8969999999999994</v>
          </cell>
          <cell r="P13">
            <v>4.3299999999999992</v>
          </cell>
          <cell r="Q13">
            <v>4.762999999999999</v>
          </cell>
          <cell r="R13">
            <v>5.1959999999999988</v>
          </cell>
          <cell r="S13">
            <v>5.6289999999999987</v>
          </cell>
          <cell r="T13">
            <v>6.0619999999999985</v>
          </cell>
          <cell r="U13">
            <v>6.4949999999999983</v>
          </cell>
          <cell r="V13">
            <v>6.9279999999999982</v>
          </cell>
          <cell r="W13">
            <v>7.360999999999998</v>
          </cell>
          <cell r="X13">
            <v>7.7939999999999978</v>
          </cell>
          <cell r="Y13">
            <v>8.2269999999999985</v>
          </cell>
          <cell r="Z13">
            <v>8.6599999999999984</v>
          </cell>
          <cell r="AA13">
            <v>9.0929999999999982</v>
          </cell>
          <cell r="AB13">
            <v>9.525999999999998</v>
          </cell>
          <cell r="AC13">
            <v>9.9589999999999979</v>
          </cell>
          <cell r="AD13">
            <v>10.391999999999998</v>
          </cell>
          <cell r="AE13">
            <v>10.824999999999998</v>
          </cell>
          <cell r="AF13">
            <v>11.257999999999997</v>
          </cell>
          <cell r="AG13">
            <v>11.690999999999997</v>
          </cell>
          <cell r="AH13">
            <v>12.123999999999997</v>
          </cell>
          <cell r="AI13">
            <v>12.556999999999997</v>
          </cell>
          <cell r="AJ13">
            <v>12.989999999999997</v>
          </cell>
        </row>
        <row r="14">
          <cell r="E14" t="str">
            <v>T</v>
          </cell>
          <cell r="F14">
            <v>299.99997763459675</v>
          </cell>
          <cell r="G14">
            <v>293.33331096793006</v>
          </cell>
          <cell r="H14">
            <v>286.66664436466061</v>
          </cell>
          <cell r="I14">
            <v>279.99997782460849</v>
          </cell>
          <cell r="J14">
            <v>273.33331134741508</v>
          </cell>
          <cell r="K14">
            <v>266.66664493254297</v>
          </cell>
          <cell r="L14">
            <v>259.99997857927877</v>
          </cell>
          <cell r="M14">
            <v>253.33331228673376</v>
          </cell>
          <cell r="N14">
            <v>246.66664605384776</v>
          </cell>
          <cell r="O14">
            <v>239.99997987939091</v>
          </cell>
          <cell r="P14">
            <v>233.33331376196827</v>
          </cell>
          <cell r="Q14">
            <v>226.66664770002262</v>
          </cell>
          <cell r="R14">
            <v>219.99998169184016</v>
          </cell>
          <cell r="S14">
            <v>213.33331573555401</v>
          </cell>
          <cell r="T14">
            <v>206.66664982915083</v>
          </cell>
          <cell r="U14">
            <v>199.99998397047526</v>
          </cell>
          <cell r="V14">
            <v>193.33331815723727</v>
          </cell>
          <cell r="W14">
            <v>186.66665238701742</v>
          </cell>
          <cell r="X14">
            <v>179.99998665727495</v>
          </cell>
          <cell r="Y14">
            <v>173.33332096535372</v>
          </cell>
          <cell r="Z14">
            <v>166.66665530849104</v>
          </cell>
          <cell r="AA14">
            <v>159.9999896838242</v>
          </cell>
          <cell r="AB14">
            <v>153.33332408839982</v>
          </cell>
          <cell r="AC14">
            <v>146.66665851918108</v>
          </cell>
          <cell r="AD14">
            <v>139.99999297305737</v>
          </cell>
          <cell r="AE14">
            <v>133.33332744685219</v>
          </cell>
          <cell r="AF14">
            <v>126.666661937333</v>
          </cell>
          <cell r="AG14">
            <v>119.99999644121954</v>
          </cell>
          <cell r="AH14">
            <v>113.33333095519386</v>
          </cell>
          <cell r="AI14">
            <v>106.66666547590927</v>
          </cell>
          <cell r="AJ14">
            <v>100</v>
          </cell>
        </row>
      </sheetData>
      <sheetData sheetId="3">
        <row r="13">
          <cell r="E13" t="str">
            <v>L</v>
          </cell>
          <cell r="F13">
            <v>0</v>
          </cell>
          <cell r="G13">
            <v>0.433</v>
          </cell>
          <cell r="H13">
            <v>0.86599999999999999</v>
          </cell>
          <cell r="I13">
            <v>1.2989999999999999</v>
          </cell>
          <cell r="J13">
            <v>1.732</v>
          </cell>
          <cell r="K13">
            <v>2.165</v>
          </cell>
          <cell r="L13">
            <v>2.5979999999999999</v>
          </cell>
          <cell r="M13">
            <v>3.0309999999999997</v>
          </cell>
          <cell r="N13">
            <v>3.4639999999999995</v>
          </cell>
          <cell r="O13">
            <v>3.8969999999999994</v>
          </cell>
          <cell r="P13">
            <v>4.3299999999999992</v>
          </cell>
          <cell r="Q13">
            <v>4.762999999999999</v>
          </cell>
          <cell r="R13">
            <v>5.1959999999999988</v>
          </cell>
          <cell r="S13">
            <v>5.6289999999999987</v>
          </cell>
          <cell r="T13">
            <v>6.0619999999999985</v>
          </cell>
          <cell r="U13">
            <v>6.4949999999999983</v>
          </cell>
          <cell r="V13">
            <v>6.9279999999999982</v>
          </cell>
          <cell r="W13">
            <v>7.360999999999998</v>
          </cell>
          <cell r="X13">
            <v>7.7939999999999978</v>
          </cell>
          <cell r="Y13">
            <v>8.2269999999999985</v>
          </cell>
          <cell r="Z13">
            <v>8.6599999999999984</v>
          </cell>
          <cell r="AA13">
            <v>9.0929999999999982</v>
          </cell>
          <cell r="AB13">
            <v>9.525999999999998</v>
          </cell>
          <cell r="AC13">
            <v>9.9589999999999979</v>
          </cell>
          <cell r="AD13">
            <v>10.391999999999998</v>
          </cell>
          <cell r="AE13">
            <v>10.824999999999998</v>
          </cell>
          <cell r="AF13">
            <v>11.257999999999997</v>
          </cell>
          <cell r="AG13">
            <v>11.690999999999997</v>
          </cell>
          <cell r="AH13">
            <v>12.123999999999997</v>
          </cell>
          <cell r="AI13">
            <v>12.556999999999997</v>
          </cell>
        </row>
        <row r="14">
          <cell r="E14" t="str">
            <v>T</v>
          </cell>
          <cell r="F14">
            <v>1.8260869565217392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K49"/>
  <sheetViews>
    <sheetView topLeftCell="I1" zoomScale="70" zoomScaleNormal="70" workbookViewId="0">
      <selection activeCell="V21" sqref="V21"/>
    </sheetView>
  </sheetViews>
  <sheetFormatPr defaultRowHeight="15" x14ac:dyDescent="0.25"/>
  <sheetData>
    <row r="2" spans="2:36" x14ac:dyDescent="0.25">
      <c r="G2" t="s">
        <v>11</v>
      </c>
    </row>
    <row r="3" spans="2:36" x14ac:dyDescent="0.25">
      <c r="B3" s="7" t="s">
        <v>0</v>
      </c>
      <c r="C3" s="1">
        <v>0.1</v>
      </c>
    </row>
    <row r="4" spans="2:36" x14ac:dyDescent="0.25">
      <c r="B4" s="7" t="s">
        <v>1</v>
      </c>
      <c r="C4" s="1">
        <f>C3/30</f>
        <v>3.3333333333333335E-3</v>
      </c>
    </row>
    <row r="5" spans="2:36" x14ac:dyDescent="0.25">
      <c r="B5" s="7" t="s">
        <v>2</v>
      </c>
      <c r="C5" s="1">
        <f>(C9*C8*C4^2)/(2*C10)</f>
        <v>0.4333333333333334</v>
      </c>
    </row>
    <row r="6" spans="2:36" x14ac:dyDescent="0.25">
      <c r="B6" s="7" t="s">
        <v>3</v>
      </c>
      <c r="C6" s="1">
        <v>500</v>
      </c>
      <c r="D6">
        <v>500.43333333333334</v>
      </c>
    </row>
    <row r="7" spans="2:36" x14ac:dyDescent="0.25">
      <c r="B7" s="2"/>
      <c r="C7" s="2"/>
    </row>
    <row r="8" spans="2:36" x14ac:dyDescent="0.25">
      <c r="B8" s="7" t="s">
        <v>4</v>
      </c>
      <c r="C8" s="1">
        <v>460</v>
      </c>
    </row>
    <row r="9" spans="2:36" x14ac:dyDescent="0.25">
      <c r="B9" s="7" t="s">
        <v>5</v>
      </c>
      <c r="C9" s="1">
        <v>7800</v>
      </c>
    </row>
    <row r="10" spans="2:36" x14ac:dyDescent="0.25">
      <c r="B10" s="7" t="s">
        <v>6</v>
      </c>
      <c r="C10" s="1">
        <v>46</v>
      </c>
    </row>
    <row r="11" spans="2:36" x14ac:dyDescent="0.25">
      <c r="B11" s="2"/>
      <c r="C11" s="2"/>
      <c r="E11" s="6"/>
      <c r="F11" s="3">
        <v>1</v>
      </c>
      <c r="G11" s="4">
        <v>2</v>
      </c>
      <c r="H11" s="4">
        <v>3</v>
      </c>
      <c r="I11" s="4">
        <v>4</v>
      </c>
      <c r="J11" s="4">
        <v>5</v>
      </c>
      <c r="K11" s="4">
        <v>6</v>
      </c>
      <c r="L11" s="4">
        <v>7</v>
      </c>
      <c r="M11" s="4">
        <v>8</v>
      </c>
      <c r="N11" s="4">
        <v>9</v>
      </c>
      <c r="O11" s="4">
        <v>10</v>
      </c>
      <c r="P11" s="4">
        <v>11</v>
      </c>
      <c r="Q11" s="4">
        <v>12</v>
      </c>
      <c r="R11" s="4">
        <v>13</v>
      </c>
      <c r="S11" s="4">
        <v>14</v>
      </c>
      <c r="T11" s="4">
        <v>15</v>
      </c>
      <c r="U11" s="4">
        <v>16</v>
      </c>
      <c r="V11" s="4">
        <v>17</v>
      </c>
      <c r="W11" s="4">
        <v>18</v>
      </c>
      <c r="X11" s="4">
        <v>19</v>
      </c>
      <c r="Y11" s="4">
        <v>20</v>
      </c>
      <c r="Z11" s="4">
        <v>21</v>
      </c>
      <c r="AA11" s="4">
        <v>22</v>
      </c>
      <c r="AB11" s="4">
        <v>23</v>
      </c>
      <c r="AC11" s="4">
        <v>24</v>
      </c>
      <c r="AD11" s="4">
        <v>25</v>
      </c>
      <c r="AE11" s="4">
        <v>26</v>
      </c>
      <c r="AF11" s="4">
        <v>27</v>
      </c>
      <c r="AG11" s="4">
        <v>28</v>
      </c>
      <c r="AH11" s="4">
        <v>29</v>
      </c>
      <c r="AI11" s="4">
        <v>30</v>
      </c>
      <c r="AJ11" s="4">
        <v>31</v>
      </c>
    </row>
    <row r="12" spans="2:36" x14ac:dyDescent="0.25">
      <c r="B12" s="7" t="s">
        <v>8</v>
      </c>
      <c r="C12" s="1">
        <v>300</v>
      </c>
      <c r="E12" s="6" t="s">
        <v>0</v>
      </c>
      <c r="F12" s="5">
        <v>0</v>
      </c>
      <c r="G12" s="1">
        <f>$C4+F12</f>
        <v>3.3333333333333335E-3</v>
      </c>
      <c r="H12" s="1">
        <f>$C4+G12</f>
        <v>6.6666666666666671E-3</v>
      </c>
      <c r="I12" s="1">
        <f t="shared" ref="I12:W12" si="0">$C4+H12</f>
        <v>0.01</v>
      </c>
      <c r="J12" s="1">
        <f t="shared" si="0"/>
        <v>1.3333333333333334E-2</v>
      </c>
      <c r="K12" s="1">
        <f t="shared" si="0"/>
        <v>1.6666666666666666E-2</v>
      </c>
      <c r="L12" s="1">
        <f t="shared" si="0"/>
        <v>0.02</v>
      </c>
      <c r="M12" s="1">
        <f t="shared" si="0"/>
        <v>2.3333333333333334E-2</v>
      </c>
      <c r="N12" s="1">
        <f t="shared" si="0"/>
        <v>2.6666666666666668E-2</v>
      </c>
      <c r="O12" s="1">
        <f t="shared" si="0"/>
        <v>3.0000000000000002E-2</v>
      </c>
      <c r="P12" s="1">
        <f t="shared" si="0"/>
        <v>3.3333333333333333E-2</v>
      </c>
      <c r="Q12" s="1">
        <f t="shared" si="0"/>
        <v>3.6666666666666667E-2</v>
      </c>
      <c r="R12" s="1">
        <f t="shared" si="0"/>
        <v>0.04</v>
      </c>
      <c r="S12" s="1">
        <f t="shared" si="0"/>
        <v>4.3333333333333335E-2</v>
      </c>
      <c r="T12" s="1">
        <f t="shared" si="0"/>
        <v>4.6666666666666669E-2</v>
      </c>
      <c r="U12" s="1">
        <f t="shared" si="0"/>
        <v>0.05</v>
      </c>
      <c r="V12" s="1">
        <f t="shared" si="0"/>
        <v>5.3333333333333337E-2</v>
      </c>
      <c r="W12" s="1">
        <f t="shared" si="0"/>
        <v>5.6666666666666671E-2</v>
      </c>
      <c r="X12" s="1">
        <f>$C4+W12</f>
        <v>6.0000000000000005E-2</v>
      </c>
      <c r="Y12" s="1">
        <f>$C4+X12</f>
        <v>6.3333333333333339E-2</v>
      </c>
      <c r="Z12" s="1">
        <f t="shared" ref="Z12:AJ12" si="1">$C4+Y12</f>
        <v>6.6666666666666666E-2</v>
      </c>
      <c r="AA12" s="1">
        <f t="shared" si="1"/>
        <v>6.9999999999999993E-2</v>
      </c>
      <c r="AB12" s="1">
        <f t="shared" si="1"/>
        <v>7.333333333333332E-2</v>
      </c>
      <c r="AC12" s="1">
        <f t="shared" si="1"/>
        <v>7.6666666666666647E-2</v>
      </c>
      <c r="AD12" s="1">
        <f t="shared" si="1"/>
        <v>7.9999999999999974E-2</v>
      </c>
      <c r="AE12" s="1">
        <f t="shared" si="1"/>
        <v>8.3333333333333301E-2</v>
      </c>
      <c r="AF12" s="1">
        <f t="shared" si="1"/>
        <v>8.6666666666666628E-2</v>
      </c>
      <c r="AG12" s="1">
        <f t="shared" si="1"/>
        <v>8.9999999999999955E-2</v>
      </c>
      <c r="AH12" s="1">
        <f t="shared" si="1"/>
        <v>9.3333333333333282E-2</v>
      </c>
      <c r="AI12" s="1">
        <f t="shared" si="1"/>
        <v>9.6666666666666609E-2</v>
      </c>
      <c r="AJ12" s="1">
        <f t="shared" si="1"/>
        <v>9.9999999999999936E-2</v>
      </c>
    </row>
    <row r="13" spans="2:36" x14ac:dyDescent="0.25">
      <c r="B13" s="7" t="s">
        <v>9</v>
      </c>
      <c r="C13" s="1">
        <v>100</v>
      </c>
      <c r="E13" s="6" t="s">
        <v>7</v>
      </c>
      <c r="F13" s="1">
        <v>300</v>
      </c>
      <c r="G13" s="1">
        <v>293.25441486316311</v>
      </c>
      <c r="H13" s="1">
        <v>286.51055428430391</v>
      </c>
      <c r="I13" s="1">
        <v>279.76669370544471</v>
      </c>
      <c r="J13" s="1">
        <v>273.02793142904954</v>
      </c>
      <c r="K13" s="1">
        <v>266.28916915265444</v>
      </c>
      <c r="L13" s="1">
        <v>259.55865610289931</v>
      </c>
      <c r="M13" s="1">
        <v>252.82814305314417</v>
      </c>
      <c r="N13" s="1">
        <v>246.10866962337485</v>
      </c>
      <c r="O13" s="1">
        <v>239.38919619360553</v>
      </c>
      <c r="P13" s="1">
        <v>232.68307029275243</v>
      </c>
      <c r="Q13" s="1">
        <v>225.97694439189934</v>
      </c>
      <c r="R13" s="1">
        <v>219.28589057778473</v>
      </c>
      <c r="S13" s="1">
        <v>212.59483676367012</v>
      </c>
      <c r="T13" s="1">
        <v>205.91992087156609</v>
      </c>
      <c r="U13" s="1">
        <v>199.24500497946207</v>
      </c>
      <c r="V13" s="1">
        <v>192.58658753999083</v>
      </c>
      <c r="W13" s="1">
        <v>185.92817010051957</v>
      </c>
      <c r="X13" s="1">
        <v>179.28589058275492</v>
      </c>
      <c r="Y13" s="1">
        <v>172.64361106499024</v>
      </c>
      <c r="Z13" s="1">
        <v>166.01640363340866</v>
      </c>
      <c r="AA13" s="1">
        <v>159.38919620182708</v>
      </c>
      <c r="AB13" s="1">
        <v>152.77533629845095</v>
      </c>
      <c r="AC13" s="1">
        <v>146.1614763950748</v>
      </c>
      <c r="AD13" s="1">
        <v>139.55865611094117</v>
      </c>
      <c r="AE13" s="1">
        <v>132.95583582680757</v>
      </c>
      <c r="AF13" s="1">
        <v>126.36126476866674</v>
      </c>
      <c r="AG13" s="1">
        <v>119.76669371052591</v>
      </c>
      <c r="AH13" s="1">
        <v>113.17722095440985</v>
      </c>
      <c r="AI13" s="1">
        <v>106.58774819829377</v>
      </c>
      <c r="AJ13" s="1">
        <f>C13</f>
        <v>100</v>
      </c>
    </row>
    <row r="14" spans="2:36" x14ac:dyDescent="0.25"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2:36" x14ac:dyDescent="0.25">
      <c r="E15" s="6" t="s">
        <v>10</v>
      </c>
      <c r="F15" s="1">
        <f>F13</f>
        <v>300</v>
      </c>
      <c r="G15" s="1">
        <f>G13+(($C10*$C5)/($C9*$C8))*((H13-2*G13+F13)/$C4^2)</f>
        <v>293.25527714215195</v>
      </c>
      <c r="H15" s="1">
        <f>H13+(($C10*$C5)/($C9*$C8))*((I13-2*H13+G13)/$C4^2)</f>
        <v>286.51055428430391</v>
      </c>
      <c r="I15" s="1">
        <f t="shared" ref="I15:AI15" si="2">I13+(($C10*$C5)/($C9*$C8))*((J13-2*I13+H13)/$C4^2)</f>
        <v>279.76924285667673</v>
      </c>
      <c r="J15" s="1">
        <f t="shared" si="2"/>
        <v>273.02793142904954</v>
      </c>
      <c r="K15" s="1">
        <f t="shared" si="2"/>
        <v>266.29329376597445</v>
      </c>
      <c r="L15" s="1">
        <f t="shared" si="2"/>
        <v>259.55865610289931</v>
      </c>
      <c r="M15" s="1">
        <f t="shared" si="2"/>
        <v>252.83366286313708</v>
      </c>
      <c r="N15" s="1">
        <f t="shared" si="2"/>
        <v>246.10866962337485</v>
      </c>
      <c r="O15" s="1">
        <f t="shared" si="2"/>
        <v>239.39586995806366</v>
      </c>
      <c r="P15" s="1">
        <f t="shared" si="2"/>
        <v>232.68307029275243</v>
      </c>
      <c r="Q15" s="1">
        <f t="shared" si="2"/>
        <v>225.98448043526858</v>
      </c>
      <c r="R15" s="1">
        <f t="shared" si="2"/>
        <v>219.28589057778473</v>
      </c>
      <c r="S15" s="1">
        <f t="shared" si="2"/>
        <v>212.6029057246754</v>
      </c>
      <c r="T15" s="1">
        <f t="shared" si="2"/>
        <v>205.91992087156609</v>
      </c>
      <c r="U15" s="1">
        <f t="shared" si="2"/>
        <v>199.25325420577846</v>
      </c>
      <c r="V15" s="1">
        <f t="shared" si="2"/>
        <v>192.58658753999083</v>
      </c>
      <c r="W15" s="1">
        <f t="shared" si="2"/>
        <v>185.93623906137287</v>
      </c>
      <c r="X15" s="1">
        <f t="shared" si="2"/>
        <v>179.28589058275492</v>
      </c>
      <c r="Y15" s="1">
        <f t="shared" si="2"/>
        <v>172.65114710808177</v>
      </c>
      <c r="Z15" s="1">
        <f t="shared" si="2"/>
        <v>166.01640363340866</v>
      </c>
      <c r="AA15" s="1">
        <f t="shared" si="2"/>
        <v>159.39586996592982</v>
      </c>
      <c r="AB15" s="1">
        <f t="shared" si="2"/>
        <v>152.77533629845095</v>
      </c>
      <c r="AC15" s="1">
        <f t="shared" si="2"/>
        <v>146.16699620469606</v>
      </c>
      <c r="AD15" s="1">
        <f t="shared" si="2"/>
        <v>139.55865611094117</v>
      </c>
      <c r="AE15" s="1">
        <f t="shared" si="2"/>
        <v>132.95996043980395</v>
      </c>
      <c r="AF15" s="1">
        <f t="shared" si="2"/>
        <v>126.36126476866674</v>
      </c>
      <c r="AG15" s="1">
        <f t="shared" si="2"/>
        <v>119.76924286153829</v>
      </c>
      <c r="AH15" s="1">
        <f t="shared" si="2"/>
        <v>113.17722095440985</v>
      </c>
      <c r="AI15" s="1">
        <f t="shared" si="2"/>
        <v>106.58861047720492</v>
      </c>
      <c r="AJ15" s="1">
        <f>AJ13</f>
        <v>100</v>
      </c>
    </row>
    <row r="16" spans="2:36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35" spans="1:37" x14ac:dyDescent="0.25">
      <c r="A35" s="16"/>
      <c r="B35" s="17"/>
      <c r="C35" s="17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</row>
    <row r="36" spans="1:37" x14ac:dyDescent="0.25">
      <c r="A36" s="16"/>
      <c r="B36" s="17"/>
      <c r="C36" s="17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</row>
    <row r="37" spans="1:37" x14ac:dyDescent="0.25">
      <c r="A37" s="16"/>
      <c r="B37" s="17"/>
      <c r="C37" s="17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</row>
    <row r="38" spans="1:37" x14ac:dyDescent="0.25">
      <c r="A38" s="16"/>
      <c r="B38" s="17"/>
      <c r="C38" s="17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</row>
    <row r="39" spans="1:37" x14ac:dyDescent="0.25">
      <c r="A39" s="16"/>
      <c r="B39" s="17"/>
      <c r="C39" s="17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</row>
    <row r="40" spans="1:37" x14ac:dyDescent="0.25">
      <c r="A40" s="16"/>
      <c r="B40" s="17"/>
      <c r="C40" s="17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</row>
    <row r="41" spans="1:37" x14ac:dyDescent="0.25">
      <c r="A41" s="16"/>
      <c r="B41" s="17"/>
      <c r="C41" s="17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</row>
    <row r="42" spans="1:37" x14ac:dyDescent="0.25">
      <c r="A42" s="16"/>
      <c r="B42" s="17"/>
      <c r="C42" s="17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</row>
    <row r="43" spans="1:37" x14ac:dyDescent="0.25">
      <c r="A43" s="16"/>
      <c r="B43" s="17"/>
      <c r="C43" s="17"/>
      <c r="D43" s="16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6"/>
    </row>
    <row r="44" spans="1:37" x14ac:dyDescent="0.25">
      <c r="A44" s="16"/>
      <c r="B44" s="17"/>
      <c r="C44" s="17"/>
      <c r="D44" s="16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6"/>
    </row>
    <row r="45" spans="1:37" x14ac:dyDescent="0.25">
      <c r="A45" s="16"/>
      <c r="B45" s="17"/>
      <c r="C45" s="17"/>
      <c r="D45" s="16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6"/>
    </row>
    <row r="46" spans="1:37" x14ac:dyDescent="0.25">
      <c r="A46" s="16"/>
      <c r="B46" s="16"/>
      <c r="C46" s="16"/>
      <c r="D46" s="16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6"/>
    </row>
    <row r="47" spans="1:37" x14ac:dyDescent="0.25">
      <c r="A47" s="16"/>
      <c r="B47" s="16"/>
      <c r="C47" s="16"/>
      <c r="D47" s="16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6"/>
    </row>
    <row r="48" spans="1:37" x14ac:dyDescent="0.25">
      <c r="A48" s="16"/>
      <c r="B48" s="16"/>
      <c r="C48" s="16"/>
      <c r="D48" s="16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6"/>
    </row>
    <row r="49" spans="1:37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</row>
  </sheetData>
  <phoneticPr fontId="1" type="noConversion"/>
  <conditionalFormatting sqref="F45:AJ45">
    <cfRule type="colorScale" priority="3">
      <colorScale>
        <cfvo type="min"/>
        <cfvo type="max"/>
        <color rgb="FFF8696B"/>
        <color rgb="FFFCFCFF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3:AJ13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EFBD7352-FD03-45B5-AD57-7F6EA9A1EAB0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AE22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1A2F2-B6E8-43A2-B35A-891BC117C1EE}">
  <sheetPr codeName="Лист3"/>
  <dimension ref="B3:AJ18"/>
  <sheetViews>
    <sheetView zoomScale="55" zoomScaleNormal="55" workbookViewId="0">
      <selection activeCell="T36" sqref="T36"/>
    </sheetView>
  </sheetViews>
  <sheetFormatPr defaultRowHeight="15" x14ac:dyDescent="0.25"/>
  <sheetData>
    <row r="3" spans="2:36" x14ac:dyDescent="0.25">
      <c r="B3" s="14" t="s">
        <v>0</v>
      </c>
      <c r="C3" s="1">
        <v>0.1</v>
      </c>
    </row>
    <row r="4" spans="2:36" x14ac:dyDescent="0.25">
      <c r="B4" s="14" t="s">
        <v>1</v>
      </c>
      <c r="C4" s="1">
        <f>C3/30</f>
        <v>3.3333333333333335E-3</v>
      </c>
    </row>
    <row r="5" spans="2:36" x14ac:dyDescent="0.25">
      <c r="B5" s="14" t="s">
        <v>2</v>
      </c>
      <c r="C5" s="1">
        <v>0.433</v>
      </c>
    </row>
    <row r="6" spans="2:36" x14ac:dyDescent="0.25">
      <c r="B6" s="14" t="s">
        <v>3</v>
      </c>
      <c r="C6" s="1">
        <v>5000</v>
      </c>
      <c r="D6">
        <v>5000.2839999999997</v>
      </c>
    </row>
    <row r="7" spans="2:36" x14ac:dyDescent="0.25">
      <c r="B7" s="13"/>
      <c r="C7" s="13"/>
    </row>
    <row r="8" spans="2:36" x14ac:dyDescent="0.25">
      <c r="B8" s="14" t="s">
        <v>4</v>
      </c>
      <c r="C8" s="1">
        <v>460</v>
      </c>
    </row>
    <row r="9" spans="2:36" x14ac:dyDescent="0.25">
      <c r="B9" s="14" t="s">
        <v>5</v>
      </c>
      <c r="C9" s="1">
        <v>7800</v>
      </c>
    </row>
    <row r="10" spans="2:36" x14ac:dyDescent="0.25">
      <c r="B10" s="14" t="s">
        <v>13</v>
      </c>
      <c r="C10" s="1">
        <v>46</v>
      </c>
    </row>
    <row r="11" spans="2:36" x14ac:dyDescent="0.25">
      <c r="B11" s="13"/>
      <c r="C11" s="13"/>
    </row>
    <row r="12" spans="2:36" x14ac:dyDescent="0.25">
      <c r="B12" s="13"/>
      <c r="C12" s="13"/>
      <c r="E12" s="6"/>
      <c r="F12" s="4">
        <v>1</v>
      </c>
      <c r="G12" s="4">
        <v>2</v>
      </c>
      <c r="H12" s="4">
        <v>3</v>
      </c>
      <c r="I12" s="4">
        <v>4</v>
      </c>
      <c r="J12" s="4">
        <v>5</v>
      </c>
      <c r="K12" s="4">
        <v>6</v>
      </c>
      <c r="L12" s="4">
        <v>7</v>
      </c>
      <c r="M12" s="4">
        <v>8</v>
      </c>
      <c r="N12" s="4">
        <v>9</v>
      </c>
      <c r="O12" s="4">
        <v>10</v>
      </c>
      <c r="P12" s="4">
        <v>11</v>
      </c>
      <c r="Q12" s="4">
        <v>12</v>
      </c>
      <c r="R12" s="4">
        <v>13</v>
      </c>
      <c r="S12" s="4">
        <v>14</v>
      </c>
      <c r="T12" s="4">
        <v>15</v>
      </c>
      <c r="U12" s="4">
        <v>16</v>
      </c>
      <c r="V12" s="4">
        <v>17</v>
      </c>
      <c r="W12" s="4">
        <v>18</v>
      </c>
      <c r="X12" s="4">
        <v>19</v>
      </c>
      <c r="Y12" s="4">
        <v>20</v>
      </c>
      <c r="Z12" s="4">
        <v>21</v>
      </c>
      <c r="AA12" s="4">
        <v>22</v>
      </c>
      <c r="AB12" s="4">
        <v>23</v>
      </c>
      <c r="AC12" s="4">
        <v>24</v>
      </c>
      <c r="AD12" s="4">
        <v>25</v>
      </c>
      <c r="AE12" s="4">
        <v>26</v>
      </c>
      <c r="AF12" s="4">
        <v>27</v>
      </c>
      <c r="AG12" s="4">
        <v>28</v>
      </c>
      <c r="AH12" s="4">
        <v>29</v>
      </c>
      <c r="AI12" s="4">
        <v>30</v>
      </c>
      <c r="AJ12" s="4">
        <v>31</v>
      </c>
    </row>
    <row r="13" spans="2:36" x14ac:dyDescent="0.25">
      <c r="B13" s="14" t="s">
        <v>14</v>
      </c>
      <c r="C13" s="1">
        <v>92000</v>
      </c>
      <c r="E13" s="6" t="s">
        <v>0</v>
      </c>
      <c r="F13" s="15">
        <v>0</v>
      </c>
      <c r="G13" s="10">
        <f t="shared" ref="G13:AJ13" si="0">F13+$C$5</f>
        <v>0.433</v>
      </c>
      <c r="H13" s="10">
        <f t="shared" si="0"/>
        <v>0.86599999999999999</v>
      </c>
      <c r="I13" s="10">
        <f t="shared" si="0"/>
        <v>1.2989999999999999</v>
      </c>
      <c r="J13" s="10">
        <f t="shared" si="0"/>
        <v>1.732</v>
      </c>
      <c r="K13" s="10">
        <f t="shared" si="0"/>
        <v>2.165</v>
      </c>
      <c r="L13" s="10">
        <f t="shared" si="0"/>
        <v>2.5979999999999999</v>
      </c>
      <c r="M13" s="10">
        <f t="shared" si="0"/>
        <v>3.0309999999999997</v>
      </c>
      <c r="N13" s="10">
        <f t="shared" si="0"/>
        <v>3.4639999999999995</v>
      </c>
      <c r="O13" s="10">
        <f t="shared" si="0"/>
        <v>3.8969999999999994</v>
      </c>
      <c r="P13" s="10">
        <f t="shared" si="0"/>
        <v>4.3299999999999992</v>
      </c>
      <c r="Q13" s="10">
        <f t="shared" si="0"/>
        <v>4.762999999999999</v>
      </c>
      <c r="R13" s="10">
        <f t="shared" si="0"/>
        <v>5.1959999999999988</v>
      </c>
      <c r="S13" s="10">
        <f t="shared" si="0"/>
        <v>5.6289999999999987</v>
      </c>
      <c r="T13" s="10">
        <f t="shared" si="0"/>
        <v>6.0619999999999985</v>
      </c>
      <c r="U13" s="10">
        <f t="shared" si="0"/>
        <v>6.4949999999999983</v>
      </c>
      <c r="V13" s="10">
        <f t="shared" si="0"/>
        <v>6.9279999999999982</v>
      </c>
      <c r="W13" s="10">
        <f t="shared" si="0"/>
        <v>7.360999999999998</v>
      </c>
      <c r="X13" s="10">
        <f t="shared" si="0"/>
        <v>7.7939999999999978</v>
      </c>
      <c r="Y13" s="10">
        <f t="shared" si="0"/>
        <v>8.2269999999999985</v>
      </c>
      <c r="Z13" s="10">
        <f t="shared" si="0"/>
        <v>8.6599999999999984</v>
      </c>
      <c r="AA13" s="10">
        <f t="shared" si="0"/>
        <v>9.0929999999999982</v>
      </c>
      <c r="AB13" s="10">
        <f t="shared" si="0"/>
        <v>9.525999999999998</v>
      </c>
      <c r="AC13" s="10">
        <f t="shared" si="0"/>
        <v>9.9589999999999979</v>
      </c>
      <c r="AD13" s="10">
        <f t="shared" si="0"/>
        <v>10.391999999999998</v>
      </c>
      <c r="AE13" s="10">
        <f t="shared" si="0"/>
        <v>10.824999999999998</v>
      </c>
      <c r="AF13" s="10">
        <f t="shared" si="0"/>
        <v>11.257999999999997</v>
      </c>
      <c r="AG13" s="10">
        <f t="shared" si="0"/>
        <v>11.690999999999997</v>
      </c>
      <c r="AH13" s="10">
        <f t="shared" si="0"/>
        <v>12.123999999999997</v>
      </c>
      <c r="AI13" s="10">
        <f t="shared" si="0"/>
        <v>12.556999999999997</v>
      </c>
      <c r="AJ13" s="15">
        <f t="shared" si="0"/>
        <v>12.989999999999997</v>
      </c>
    </row>
    <row r="14" spans="2:36" x14ac:dyDescent="0.25">
      <c r="B14" s="14" t="s">
        <v>9</v>
      </c>
      <c r="C14" s="1">
        <v>100</v>
      </c>
      <c r="E14" s="6" t="s">
        <v>7</v>
      </c>
      <c r="F14" s="1">
        <f>(F18/C10)*C4+G14</f>
        <v>299.99997763459675</v>
      </c>
      <c r="G14" s="1">
        <v>293.33331096793006</v>
      </c>
      <c r="H14" s="1">
        <v>286.66664436466061</v>
      </c>
      <c r="I14" s="1">
        <v>279.99997782460849</v>
      </c>
      <c r="J14" s="1">
        <v>273.33331134741508</v>
      </c>
      <c r="K14" s="1">
        <v>266.66664493254297</v>
      </c>
      <c r="L14" s="1">
        <v>259.99997857927877</v>
      </c>
      <c r="M14" s="1">
        <v>253.33331228673376</v>
      </c>
      <c r="N14" s="1">
        <v>246.66664605384776</v>
      </c>
      <c r="O14" s="1">
        <v>239.99997987939091</v>
      </c>
      <c r="P14" s="1">
        <v>233.33331376196827</v>
      </c>
      <c r="Q14" s="1">
        <v>226.66664770002262</v>
      </c>
      <c r="R14" s="1">
        <v>219.99998169184016</v>
      </c>
      <c r="S14" s="1">
        <v>213.33331573555401</v>
      </c>
      <c r="T14" s="1">
        <v>206.66664982915083</v>
      </c>
      <c r="U14" s="1">
        <v>199.99998397047526</v>
      </c>
      <c r="V14" s="1">
        <v>193.33331815723727</v>
      </c>
      <c r="W14" s="1">
        <v>186.66665238701742</v>
      </c>
      <c r="X14" s="1">
        <v>179.99998665727495</v>
      </c>
      <c r="Y14" s="1">
        <v>173.33332096535372</v>
      </c>
      <c r="Z14" s="1">
        <v>166.66665530849104</v>
      </c>
      <c r="AA14" s="1">
        <v>159.9999896838242</v>
      </c>
      <c r="AB14" s="1">
        <v>153.33332408839982</v>
      </c>
      <c r="AC14" s="1">
        <v>146.66665851918108</v>
      </c>
      <c r="AD14" s="1">
        <v>139.99999297305737</v>
      </c>
      <c r="AE14" s="1">
        <v>133.33332744685219</v>
      </c>
      <c r="AF14" s="1">
        <v>126.666661937333</v>
      </c>
      <c r="AG14" s="1">
        <v>119.99999644121954</v>
      </c>
      <c r="AH14" s="1">
        <v>113.33333095519386</v>
      </c>
      <c r="AI14" s="1">
        <v>106.66666547590927</v>
      </c>
      <c r="AJ14" s="1">
        <v>100</v>
      </c>
    </row>
    <row r="15" spans="2:36" x14ac:dyDescent="0.25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2:36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5:36" x14ac:dyDescent="0.25">
      <c r="E17" s="6" t="s">
        <v>15</v>
      </c>
      <c r="F17" s="1"/>
      <c r="G17" s="11">
        <f>G14+(($C$10*$C$5)/($C$9*$C$8))*((H14-2*G14+F14)/($C$4^2))</f>
        <v>293.33331099960429</v>
      </c>
      <c r="H17" s="11">
        <f t="shared" ref="H17:AI17" si="1">H14+(($C$10*$C$5)/($C$9*$C$8))*((I14-2*H14+G14)/($C$4^2))</f>
        <v>286.66664439624498</v>
      </c>
      <c r="I17" s="11">
        <f t="shared" si="1"/>
        <v>279.99997785601369</v>
      </c>
      <c r="J17" s="11">
        <f t="shared" si="1"/>
        <v>273.33331137855174</v>
      </c>
      <c r="K17" s="11">
        <f t="shared" si="1"/>
        <v>266.66664496332322</v>
      </c>
      <c r="L17" s="11">
        <f t="shared" si="1"/>
        <v>259.99997860961503</v>
      </c>
      <c r="M17" s="11">
        <f t="shared" si="1"/>
        <v>253.33331231654034</v>
      </c>
      <c r="N17" s="11">
        <f t="shared" si="1"/>
        <v>246.66664608303986</v>
      </c>
      <c r="O17" s="11">
        <f t="shared" si="1"/>
        <v>239.99997990788609</v>
      </c>
      <c r="P17" s="11">
        <f t="shared" si="1"/>
        <v>233.33331378968543</v>
      </c>
      <c r="Q17" s="11">
        <f t="shared" si="1"/>
        <v>226.66664772688353</v>
      </c>
      <c r="R17" s="11">
        <f t="shared" si="1"/>
        <v>219.99998171776835</v>
      </c>
      <c r="S17" s="11">
        <f t="shared" si="1"/>
        <v>213.3333157604763</v>
      </c>
      <c r="T17" s="11">
        <f t="shared" si="1"/>
        <v>206.66664985299627</v>
      </c>
      <c r="U17" s="11">
        <f t="shared" si="1"/>
        <v>199.99998399317658</v>
      </c>
      <c r="V17" s="11">
        <f t="shared" si="1"/>
        <v>193.3333181787298</v>
      </c>
      <c r="W17" s="11">
        <f t="shared" si="1"/>
        <v>186.66665240724055</v>
      </c>
      <c r="X17" s="11">
        <f t="shared" si="1"/>
        <v>179.99998667617103</v>
      </c>
      <c r="Y17" s="11">
        <f t="shared" si="1"/>
        <v>173.33332098286951</v>
      </c>
      <c r="Z17" s="11">
        <f t="shared" si="1"/>
        <v>166.66665532457657</v>
      </c>
      <c r="AA17" s="11">
        <f t="shared" si="1"/>
        <v>159.99998969843418</v>
      </c>
      <c r="AB17" s="11">
        <f t="shared" si="1"/>
        <v>153.33332410149256</v>
      </c>
      <c r="AC17" s="11">
        <f t="shared" si="1"/>
        <v>146.6666585307197</v>
      </c>
      <c r="AD17" s="11">
        <f t="shared" si="1"/>
        <v>139.99999298300898</v>
      </c>
      <c r="AE17" s="11">
        <f t="shared" si="1"/>
        <v>133.33332745518877</v>
      </c>
      <c r="AF17" s="11">
        <f t="shared" si="1"/>
        <v>126.66666194403071</v>
      </c>
      <c r="AG17" s="11">
        <f t="shared" si="1"/>
        <v>119.99999644625954</v>
      </c>
      <c r="AH17" s="11">
        <f t="shared" si="1"/>
        <v>113.33333095856182</v>
      </c>
      <c r="AI17" s="11">
        <f t="shared" si="1"/>
        <v>106.66666547759563</v>
      </c>
      <c r="AJ17" s="1"/>
    </row>
    <row r="18" spans="5:36" x14ac:dyDescent="0.25">
      <c r="E18" s="6" t="s">
        <v>12</v>
      </c>
      <c r="F18" s="1">
        <f>C13</f>
        <v>92000</v>
      </c>
      <c r="G18" s="1">
        <f t="shared" ref="G18:AI18" si="2">-$C$10*((G14-F14))/$C$4</f>
        <v>92000.000000000262</v>
      </c>
      <c r="H18" s="1">
        <f t="shared" si="2"/>
        <v>91999.999125118382</v>
      </c>
      <c r="I18" s="1">
        <f t="shared" si="2"/>
        <v>91999.998252719248</v>
      </c>
      <c r="J18" s="1">
        <f t="shared" si="2"/>
        <v>91999.997385269147</v>
      </c>
      <c r="K18" s="1">
        <f t="shared" si="2"/>
        <v>91999.996525235125</v>
      </c>
      <c r="L18" s="1">
        <f t="shared" si="2"/>
        <v>91999.995675045822</v>
      </c>
      <c r="M18" s="1">
        <f t="shared" si="2"/>
        <v>91999.994837121223</v>
      </c>
      <c r="N18" s="1">
        <f t="shared" si="2"/>
        <v>91999.994013826814</v>
      </c>
      <c r="O18" s="1">
        <f t="shared" si="2"/>
        <v>91999.993207504522</v>
      </c>
      <c r="P18" s="1">
        <f t="shared" si="2"/>
        <v>91999.992420432376</v>
      </c>
      <c r="Q18" s="1">
        <f t="shared" si="2"/>
        <v>91999.991654849931</v>
      </c>
      <c r="R18" s="1">
        <f t="shared" si="2"/>
        <v>91999.990912917943</v>
      </c>
      <c r="S18" s="1">
        <f t="shared" si="2"/>
        <v>91999.990196748899</v>
      </c>
      <c r="T18" s="1">
        <f t="shared" si="2"/>
        <v>91999.989508363898</v>
      </c>
      <c r="U18" s="1">
        <f t="shared" si="2"/>
        <v>91999.988849722882</v>
      </c>
      <c r="V18" s="1">
        <f t="shared" si="2"/>
        <v>91999.988222684173</v>
      </c>
      <c r="W18" s="1">
        <f t="shared" si="2"/>
        <v>91999.987629033931</v>
      </c>
      <c r="X18" s="1">
        <f t="shared" si="2"/>
        <v>91999.987070446165</v>
      </c>
      <c r="Y18" s="1">
        <f t="shared" si="2"/>
        <v>91999.986548512898</v>
      </c>
      <c r="Z18" s="1">
        <f t="shared" si="2"/>
        <v>91999.986064704921</v>
      </c>
      <c r="AA18" s="1">
        <f t="shared" si="2"/>
        <v>91999.985620402498</v>
      </c>
      <c r="AB18" s="1">
        <f t="shared" si="2"/>
        <v>91999.985216856396</v>
      </c>
      <c r="AC18" s="1">
        <f t="shared" si="2"/>
        <v>91999.984855218558</v>
      </c>
      <c r="AD18" s="1">
        <f t="shared" si="2"/>
        <v>91999.984536507196</v>
      </c>
      <c r="AE18" s="1">
        <f t="shared" si="2"/>
        <v>91999.984261631471</v>
      </c>
      <c r="AF18" s="1">
        <f t="shared" si="2"/>
        <v>91999.984031364831</v>
      </c>
      <c r="AG18" s="1">
        <f t="shared" si="2"/>
        <v>91999.983846365838</v>
      </c>
      <c r="AH18" s="1">
        <f t="shared" si="2"/>
        <v>91999.983707154344</v>
      </c>
      <c r="AI18" s="1">
        <f t="shared" si="2"/>
        <v>91999.983614127326</v>
      </c>
      <c r="AJ18" s="1"/>
    </row>
  </sheetData>
  <conditionalFormatting sqref="E14:AJ14">
    <cfRule type="colorScale" priority="4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F14:AJ14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02099-B0AE-4BB2-87E7-017BB80ED544}">
  <sheetPr codeName="Лист2"/>
  <dimension ref="B3:AJ18"/>
  <sheetViews>
    <sheetView tabSelected="1" topLeftCell="A7" zoomScale="70" zoomScaleNormal="70" workbookViewId="0">
      <selection activeCell="R27" sqref="R27"/>
    </sheetView>
  </sheetViews>
  <sheetFormatPr defaultRowHeight="15" x14ac:dyDescent="0.25"/>
  <sheetData>
    <row r="3" spans="2:36" x14ac:dyDescent="0.25">
      <c r="B3" s="19" t="s">
        <v>0</v>
      </c>
      <c r="C3" s="8">
        <v>0.1</v>
      </c>
    </row>
    <row r="4" spans="2:36" x14ac:dyDescent="0.25">
      <c r="B4" s="19" t="s">
        <v>1</v>
      </c>
      <c r="C4" s="8">
        <f>C3/30</f>
        <v>3.3333333333333335E-3</v>
      </c>
    </row>
    <row r="5" spans="2:36" x14ac:dyDescent="0.25">
      <c r="B5" s="19" t="s">
        <v>2</v>
      </c>
      <c r="C5" s="8">
        <v>0.433</v>
      </c>
    </row>
    <row r="6" spans="2:36" x14ac:dyDescent="0.25">
      <c r="B6" s="19" t="s">
        <v>3</v>
      </c>
      <c r="C6" s="8">
        <v>200</v>
      </c>
      <c r="D6">
        <v>200.04599999999999</v>
      </c>
    </row>
    <row r="7" spans="2:36" x14ac:dyDescent="0.25">
      <c r="B7" s="12"/>
      <c r="C7" s="12"/>
    </row>
    <row r="8" spans="2:36" x14ac:dyDescent="0.25">
      <c r="B8" s="19" t="s">
        <v>4</v>
      </c>
      <c r="C8" s="8">
        <v>460</v>
      </c>
    </row>
    <row r="9" spans="2:36" x14ac:dyDescent="0.25">
      <c r="B9" s="19" t="s">
        <v>5</v>
      </c>
      <c r="C9" s="8">
        <v>7800</v>
      </c>
    </row>
    <row r="10" spans="2:36" x14ac:dyDescent="0.25">
      <c r="B10" s="19" t="s">
        <v>13</v>
      </c>
      <c r="C10" s="8">
        <v>46</v>
      </c>
    </row>
    <row r="11" spans="2:36" x14ac:dyDescent="0.25">
      <c r="B11" s="19" t="s">
        <v>17</v>
      </c>
      <c r="C11" s="8">
        <v>90</v>
      </c>
    </row>
    <row r="12" spans="2:36" x14ac:dyDescent="0.25">
      <c r="B12" s="12"/>
      <c r="C12" s="12"/>
      <c r="E12" s="20"/>
      <c r="F12" s="21">
        <v>1</v>
      </c>
      <c r="G12" s="21">
        <v>2</v>
      </c>
      <c r="H12" s="21">
        <v>3</v>
      </c>
      <c r="I12" s="21">
        <v>4</v>
      </c>
      <c r="J12" s="21">
        <v>5</v>
      </c>
      <c r="K12" s="21">
        <v>6</v>
      </c>
      <c r="L12" s="21">
        <v>7</v>
      </c>
      <c r="M12" s="21">
        <v>8</v>
      </c>
      <c r="N12" s="21">
        <v>9</v>
      </c>
      <c r="O12" s="21">
        <v>10</v>
      </c>
      <c r="P12" s="21">
        <v>11</v>
      </c>
      <c r="Q12" s="21">
        <v>12</v>
      </c>
      <c r="R12" s="21">
        <v>13</v>
      </c>
      <c r="S12" s="21">
        <v>14</v>
      </c>
      <c r="T12" s="21">
        <v>15</v>
      </c>
      <c r="U12" s="21">
        <v>16</v>
      </c>
      <c r="V12" s="21">
        <v>17</v>
      </c>
      <c r="W12" s="21">
        <v>18</v>
      </c>
      <c r="X12" s="21">
        <v>19</v>
      </c>
      <c r="Y12" s="21">
        <v>20</v>
      </c>
      <c r="Z12" s="21">
        <v>21</v>
      </c>
      <c r="AA12" s="21">
        <v>22</v>
      </c>
      <c r="AB12" s="21">
        <v>23</v>
      </c>
      <c r="AC12" s="21">
        <v>24</v>
      </c>
      <c r="AD12" s="21">
        <v>25</v>
      </c>
      <c r="AE12" s="21">
        <v>26</v>
      </c>
      <c r="AF12" s="21">
        <v>27</v>
      </c>
      <c r="AG12" s="21">
        <v>28</v>
      </c>
      <c r="AH12" s="21">
        <v>29</v>
      </c>
      <c r="AI12" s="21">
        <v>30</v>
      </c>
      <c r="AJ12" s="21">
        <v>31</v>
      </c>
    </row>
    <row r="13" spans="2:36" x14ac:dyDescent="0.25">
      <c r="B13" s="19" t="s">
        <v>16</v>
      </c>
      <c r="C13" s="8">
        <v>20</v>
      </c>
      <c r="E13" s="20" t="s">
        <v>0</v>
      </c>
      <c r="F13" s="9">
        <v>0</v>
      </c>
      <c r="G13" s="10">
        <f t="shared" ref="G13:AJ13" si="0">F13+$C$5</f>
        <v>0.433</v>
      </c>
      <c r="H13" s="10">
        <f t="shared" si="0"/>
        <v>0.86599999999999999</v>
      </c>
      <c r="I13" s="10">
        <f t="shared" si="0"/>
        <v>1.2989999999999999</v>
      </c>
      <c r="J13" s="10">
        <f t="shared" si="0"/>
        <v>1.732</v>
      </c>
      <c r="K13" s="10">
        <f t="shared" si="0"/>
        <v>2.165</v>
      </c>
      <c r="L13" s="10">
        <f t="shared" si="0"/>
        <v>2.5979999999999999</v>
      </c>
      <c r="M13" s="10">
        <f t="shared" si="0"/>
        <v>3.0309999999999997</v>
      </c>
      <c r="N13" s="10">
        <f t="shared" si="0"/>
        <v>3.4639999999999995</v>
      </c>
      <c r="O13" s="10">
        <f t="shared" si="0"/>
        <v>3.8969999999999994</v>
      </c>
      <c r="P13" s="10">
        <f t="shared" si="0"/>
        <v>4.3299999999999992</v>
      </c>
      <c r="Q13" s="10">
        <f t="shared" si="0"/>
        <v>4.762999999999999</v>
      </c>
      <c r="R13" s="10">
        <f t="shared" si="0"/>
        <v>5.1959999999999988</v>
      </c>
      <c r="S13" s="10">
        <f t="shared" si="0"/>
        <v>5.6289999999999987</v>
      </c>
      <c r="T13" s="10">
        <f t="shared" si="0"/>
        <v>6.0619999999999985</v>
      </c>
      <c r="U13" s="10">
        <f t="shared" si="0"/>
        <v>6.4949999999999983</v>
      </c>
      <c r="V13" s="10">
        <f t="shared" si="0"/>
        <v>6.9279999999999982</v>
      </c>
      <c r="W13" s="10">
        <f t="shared" si="0"/>
        <v>7.360999999999998</v>
      </c>
      <c r="X13" s="10">
        <f t="shared" si="0"/>
        <v>7.7939999999999978</v>
      </c>
      <c r="Y13" s="10">
        <f t="shared" si="0"/>
        <v>8.2269999999999985</v>
      </c>
      <c r="Z13" s="10">
        <f t="shared" si="0"/>
        <v>8.6599999999999984</v>
      </c>
      <c r="AA13" s="10">
        <f t="shared" si="0"/>
        <v>9.0929999999999982</v>
      </c>
      <c r="AB13" s="10">
        <f t="shared" si="0"/>
        <v>9.525999999999998</v>
      </c>
      <c r="AC13" s="10">
        <f t="shared" si="0"/>
        <v>9.9589999999999979</v>
      </c>
      <c r="AD13" s="10">
        <f t="shared" si="0"/>
        <v>10.391999999999998</v>
      </c>
      <c r="AE13" s="10">
        <f t="shared" si="0"/>
        <v>10.824999999999998</v>
      </c>
      <c r="AF13" s="10">
        <f t="shared" si="0"/>
        <v>11.257999999999997</v>
      </c>
      <c r="AG13" s="10">
        <f t="shared" si="0"/>
        <v>11.690999999999997</v>
      </c>
      <c r="AH13" s="10">
        <f t="shared" si="0"/>
        <v>12.123999999999997</v>
      </c>
      <c r="AI13" s="10">
        <f t="shared" si="0"/>
        <v>12.556999999999997</v>
      </c>
      <c r="AJ13" s="9">
        <f t="shared" si="0"/>
        <v>12.989999999999997</v>
      </c>
    </row>
    <row r="14" spans="2:36" x14ac:dyDescent="0.25">
      <c r="B14" s="19" t="s">
        <v>9</v>
      </c>
      <c r="C14" s="8">
        <v>300</v>
      </c>
      <c r="E14" s="20" t="s">
        <v>7</v>
      </c>
      <c r="F14" s="18">
        <f>((F18/C10)*C4)-G14</f>
        <v>1.8260869565217392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I14" s="8">
        <v>0</v>
      </c>
      <c r="AJ14" s="8">
        <v>100</v>
      </c>
    </row>
    <row r="17" spans="5:36" x14ac:dyDescent="0.25">
      <c r="E17" s="20" t="s">
        <v>15</v>
      </c>
      <c r="F17" s="8"/>
      <c r="G17" s="11">
        <f>G14+(($C$10*$C$5)/($C$9*$C$8))*((H14-2*G14+F14)/($C$4^2))</f>
        <v>0.91234113712374565</v>
      </c>
      <c r="H17" s="11">
        <f t="shared" ref="H17:AJ17" si="1">H14+(($C$10*$C$5)/($C$9*$C$8))*((I14-2*H14+G14)/($C$4^2))</f>
        <v>0</v>
      </c>
      <c r="I17" s="11">
        <f t="shared" si="1"/>
        <v>0</v>
      </c>
      <c r="J17" s="11">
        <f t="shared" si="1"/>
        <v>0</v>
      </c>
      <c r="K17" s="11">
        <f t="shared" si="1"/>
        <v>0</v>
      </c>
      <c r="L17" s="11">
        <f t="shared" si="1"/>
        <v>0</v>
      </c>
      <c r="M17" s="11">
        <f t="shared" si="1"/>
        <v>0</v>
      </c>
      <c r="N17" s="11">
        <f t="shared" si="1"/>
        <v>0</v>
      </c>
      <c r="O17" s="11">
        <f t="shared" si="1"/>
        <v>0</v>
      </c>
      <c r="P17" s="11">
        <f t="shared" si="1"/>
        <v>0</v>
      </c>
      <c r="Q17" s="11">
        <f t="shared" si="1"/>
        <v>0</v>
      </c>
      <c r="R17" s="11">
        <f t="shared" si="1"/>
        <v>0</v>
      </c>
      <c r="S17" s="11">
        <f t="shared" si="1"/>
        <v>0</v>
      </c>
      <c r="T17" s="11">
        <f t="shared" si="1"/>
        <v>0</v>
      </c>
      <c r="U17" s="11">
        <f t="shared" si="1"/>
        <v>0</v>
      </c>
      <c r="V17" s="11">
        <f t="shared" si="1"/>
        <v>0</v>
      </c>
      <c r="W17" s="11">
        <f t="shared" si="1"/>
        <v>0</v>
      </c>
      <c r="X17" s="11">
        <f t="shared" si="1"/>
        <v>0</v>
      </c>
      <c r="Y17" s="11">
        <f t="shared" si="1"/>
        <v>0</v>
      </c>
      <c r="Z17" s="11">
        <f t="shared" si="1"/>
        <v>0</v>
      </c>
      <c r="AA17" s="11">
        <f t="shared" si="1"/>
        <v>0</v>
      </c>
      <c r="AB17" s="11">
        <f t="shared" si="1"/>
        <v>0</v>
      </c>
      <c r="AC17" s="11">
        <f t="shared" si="1"/>
        <v>0</v>
      </c>
      <c r="AD17" s="11">
        <f t="shared" si="1"/>
        <v>0</v>
      </c>
      <c r="AE17" s="11">
        <f t="shared" si="1"/>
        <v>0</v>
      </c>
      <c r="AF17" s="11">
        <f t="shared" si="1"/>
        <v>0</v>
      </c>
      <c r="AG17" s="11">
        <f t="shared" si="1"/>
        <v>0</v>
      </c>
      <c r="AH17" s="11">
        <f t="shared" si="1"/>
        <v>0</v>
      </c>
      <c r="AI17" s="11">
        <f t="shared" si="1"/>
        <v>49.961538461538446</v>
      </c>
      <c r="AJ17" s="11">
        <f t="shared" si="1"/>
        <v>7.6923076923108624E-2</v>
      </c>
    </row>
    <row r="18" spans="5:36" x14ac:dyDescent="0.25">
      <c r="E18" s="20" t="s">
        <v>18</v>
      </c>
      <c r="F18" s="8">
        <f>C11*(C14-C13)</f>
        <v>25200</v>
      </c>
      <c r="G18" s="8">
        <f t="shared" ref="G18:AJ18" si="2">-$C$10*((G14-F14))/$C$4</f>
        <v>25200</v>
      </c>
      <c r="H18" s="8">
        <f t="shared" si="2"/>
        <v>0</v>
      </c>
      <c r="I18" s="8">
        <f t="shared" si="2"/>
        <v>0</v>
      </c>
      <c r="J18" s="8">
        <f t="shared" si="2"/>
        <v>0</v>
      </c>
      <c r="K18" s="8">
        <f t="shared" si="2"/>
        <v>0</v>
      </c>
      <c r="L18" s="8">
        <f t="shared" si="2"/>
        <v>0</v>
      </c>
      <c r="M18" s="8">
        <f t="shared" si="2"/>
        <v>0</v>
      </c>
      <c r="N18" s="8">
        <f t="shared" si="2"/>
        <v>0</v>
      </c>
      <c r="O18" s="8">
        <f t="shared" si="2"/>
        <v>0</v>
      </c>
      <c r="P18" s="8">
        <f t="shared" si="2"/>
        <v>0</v>
      </c>
      <c r="Q18" s="8">
        <f t="shared" si="2"/>
        <v>0</v>
      </c>
      <c r="R18" s="8">
        <f t="shared" si="2"/>
        <v>0</v>
      </c>
      <c r="S18" s="8">
        <f t="shared" si="2"/>
        <v>0</v>
      </c>
      <c r="T18" s="8">
        <f t="shared" si="2"/>
        <v>0</v>
      </c>
      <c r="U18" s="8">
        <f t="shared" si="2"/>
        <v>0</v>
      </c>
      <c r="V18" s="8">
        <f t="shared" si="2"/>
        <v>0</v>
      </c>
      <c r="W18" s="8">
        <f t="shared" si="2"/>
        <v>0</v>
      </c>
      <c r="X18" s="8">
        <f t="shared" si="2"/>
        <v>0</v>
      </c>
      <c r="Y18" s="8">
        <f t="shared" si="2"/>
        <v>0</v>
      </c>
      <c r="Z18" s="8">
        <f t="shared" si="2"/>
        <v>0</v>
      </c>
      <c r="AA18" s="8">
        <f t="shared" si="2"/>
        <v>0</v>
      </c>
      <c r="AB18" s="8">
        <f t="shared" si="2"/>
        <v>0</v>
      </c>
      <c r="AC18" s="8">
        <f t="shared" si="2"/>
        <v>0</v>
      </c>
      <c r="AD18" s="8">
        <f t="shared" si="2"/>
        <v>0</v>
      </c>
      <c r="AE18" s="8">
        <f t="shared" si="2"/>
        <v>0</v>
      </c>
      <c r="AF18" s="8">
        <f t="shared" si="2"/>
        <v>0</v>
      </c>
      <c r="AG18" s="8">
        <f t="shared" si="2"/>
        <v>0</v>
      </c>
      <c r="AH18" s="8">
        <f t="shared" si="2"/>
        <v>0</v>
      </c>
      <c r="AI18" s="8">
        <f t="shared" si="2"/>
        <v>0</v>
      </c>
      <c r="AJ18" s="8">
        <f t="shared" si="2"/>
        <v>-1380000</v>
      </c>
    </row>
  </sheetData>
  <conditionalFormatting sqref="E14:AJ14">
    <cfRule type="colorScale" priority="3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F14:AJ14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Ксюша Сальникова</dc:creator>
  <cp:lastModifiedBy>Ксюша Сальникова</cp:lastModifiedBy>
  <dcterms:created xsi:type="dcterms:W3CDTF">2015-06-05T18:19:34Z</dcterms:created>
  <dcterms:modified xsi:type="dcterms:W3CDTF">2021-03-09T14:45:29Z</dcterms:modified>
</cp:coreProperties>
</file>