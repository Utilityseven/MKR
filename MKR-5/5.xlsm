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сения\Desktop\ХОЧУ ЛЮБВИ\УЁБА\6 семак\МСС\MKR-5\"/>
    </mc:Choice>
  </mc:AlternateContent>
  <xr:revisionPtr revIDLastSave="0" documentId="13_ncr:1_{9B108352-C56F-4F85-9306-906B5E5A498E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ro_const" sheetId="2" r:id="rId1"/>
    <sheet name="ro_var" sheetId="1" r:id="rId2"/>
    <sheet name="ro_const_p105" sheetId="3" r:id="rId3"/>
    <sheet name="ro_var_p105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4" l="1"/>
  <c r="Q13" i="4"/>
  <c r="P13" i="4"/>
  <c r="O13" i="4"/>
  <c r="O17" i="4" s="1"/>
  <c r="O18" i="4" s="1"/>
  <c r="N13" i="4"/>
  <c r="N17" i="4" s="1"/>
  <c r="N18" i="4" s="1"/>
  <c r="M13" i="4"/>
  <c r="M17" i="4" s="1"/>
  <c r="M18" i="4" s="1"/>
  <c r="M19" i="4" s="1"/>
  <c r="L13" i="4"/>
  <c r="L17" i="4" s="1"/>
  <c r="L18" i="4" s="1"/>
  <c r="L19" i="4" s="1"/>
  <c r="K13" i="4"/>
  <c r="K17" i="4" s="1"/>
  <c r="K18" i="4" s="1"/>
  <c r="K19" i="4" s="1"/>
  <c r="J13" i="4"/>
  <c r="J17" i="4" s="1"/>
  <c r="J18" i="4" s="1"/>
  <c r="J19" i="4" s="1"/>
  <c r="I13" i="4"/>
  <c r="H13" i="4"/>
  <c r="H17" i="4" s="1"/>
  <c r="H18" i="4" s="1"/>
  <c r="Q4" i="4"/>
  <c r="Q10" i="4" s="1"/>
  <c r="G4" i="4"/>
  <c r="H3" i="4"/>
  <c r="H4" i="4" s="1"/>
  <c r="I2" i="4"/>
  <c r="J2" i="4" s="1"/>
  <c r="K2" i="4" s="1"/>
  <c r="L2" i="4" s="1"/>
  <c r="M2" i="4" s="1"/>
  <c r="N2" i="4" s="1"/>
  <c r="O2" i="4" s="1"/>
  <c r="P2" i="4" s="1"/>
  <c r="Q2" i="4" s="1"/>
  <c r="H2" i="4"/>
  <c r="Q14" i="3"/>
  <c r="Q13" i="3"/>
  <c r="P13" i="3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Q4" i="3"/>
  <c r="G4" i="3"/>
  <c r="I3" i="3"/>
  <c r="I4" i="3" s="1"/>
  <c r="H3" i="3"/>
  <c r="H4" i="3" s="1"/>
  <c r="G13" i="3" s="1"/>
  <c r="H2" i="3"/>
  <c r="I2" i="3" s="1"/>
  <c r="J2" i="3" s="1"/>
  <c r="K2" i="3" s="1"/>
  <c r="L2" i="3" s="1"/>
  <c r="M2" i="3" s="1"/>
  <c r="N2" i="3" s="1"/>
  <c r="O2" i="3" s="1"/>
  <c r="P2" i="3" s="1"/>
  <c r="Q2" i="3" s="1"/>
  <c r="Q14" i="2"/>
  <c r="Q13" i="2"/>
  <c r="Q17" i="2" s="1"/>
  <c r="Q18" i="2" s="1"/>
  <c r="P13" i="2"/>
  <c r="P17" i="2" s="1"/>
  <c r="P18" i="2" s="1"/>
  <c r="O13" i="2"/>
  <c r="O17" i="2" s="1"/>
  <c r="O18" i="2" s="1"/>
  <c r="O19" i="2" s="1"/>
  <c r="N13" i="2"/>
  <c r="N17" i="2" s="1"/>
  <c r="N18" i="2" s="1"/>
  <c r="M13" i="2"/>
  <c r="M17" i="2" s="1"/>
  <c r="M18" i="2" s="1"/>
  <c r="M19" i="2" s="1"/>
  <c r="L13" i="2"/>
  <c r="L17" i="2" s="1"/>
  <c r="L18" i="2" s="1"/>
  <c r="K13" i="2"/>
  <c r="K17" i="2" s="1"/>
  <c r="K18" i="2" s="1"/>
  <c r="J13" i="2"/>
  <c r="J17" i="2" s="1"/>
  <c r="J18" i="2" s="1"/>
  <c r="I13" i="2"/>
  <c r="H13" i="2"/>
  <c r="H17" i="2" s="1"/>
  <c r="H18" i="2" s="1"/>
  <c r="H19" i="2" s="1"/>
  <c r="Q4" i="2"/>
  <c r="G4" i="2"/>
  <c r="H3" i="2"/>
  <c r="I3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Q13" i="1"/>
  <c r="P13" i="1"/>
  <c r="P17" i="1" s="1"/>
  <c r="P18" i="1" s="1"/>
  <c r="O13" i="1"/>
  <c r="O17" i="1" s="1"/>
  <c r="O18" i="1" s="1"/>
  <c r="N13" i="1"/>
  <c r="N17" i="1" s="1"/>
  <c r="N18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H13" i="1"/>
  <c r="Q4" i="1"/>
  <c r="G4" i="1"/>
  <c r="H3" i="1"/>
  <c r="I3" i="1" s="1"/>
  <c r="H2" i="1"/>
  <c r="I2" i="1" s="1"/>
  <c r="J2" i="1" s="1"/>
  <c r="K2" i="1" s="1"/>
  <c r="L2" i="1" s="1"/>
  <c r="M2" i="1" s="1"/>
  <c r="N2" i="1" s="1"/>
  <c r="O2" i="1" s="1"/>
  <c r="P2" i="1" s="1"/>
  <c r="Q2" i="1" s="1"/>
  <c r="J3" i="2" l="1"/>
  <c r="J4" i="2" s="1"/>
  <c r="J10" i="2" s="1"/>
  <c r="I4" i="2"/>
  <c r="H4" i="2"/>
  <c r="G13" i="2" s="1"/>
  <c r="G10" i="2" s="1"/>
  <c r="P19" i="2"/>
  <c r="H19" i="4"/>
  <c r="K19" i="2"/>
  <c r="I3" i="4"/>
  <c r="I4" i="4" s="1"/>
  <c r="I10" i="4" s="1"/>
  <c r="P17" i="4"/>
  <c r="P18" i="4" s="1"/>
  <c r="P19" i="4" s="1"/>
  <c r="I10" i="3"/>
  <c r="Q10" i="3"/>
  <c r="O19" i="3"/>
  <c r="K17" i="3"/>
  <c r="K18" i="3" s="1"/>
  <c r="K19" i="3" s="1"/>
  <c r="G10" i="3"/>
  <c r="H10" i="4"/>
  <c r="H11" i="4" s="1"/>
  <c r="H14" i="4" s="1"/>
  <c r="G13" i="4"/>
  <c r="I17" i="4"/>
  <c r="I18" i="4" s="1"/>
  <c r="I19" i="4" s="1"/>
  <c r="Q17" i="4"/>
  <c r="Q18" i="4" s="1"/>
  <c r="Q19" i="4" s="1"/>
  <c r="J3" i="4"/>
  <c r="N19" i="4"/>
  <c r="O19" i="4"/>
  <c r="J19" i="3"/>
  <c r="G17" i="3"/>
  <c r="G18" i="3" s="1"/>
  <c r="G19" i="3" s="1"/>
  <c r="G14" i="3"/>
  <c r="N19" i="3"/>
  <c r="H10" i="3"/>
  <c r="H19" i="3"/>
  <c r="P17" i="3"/>
  <c r="P18" i="3" s="1"/>
  <c r="P19" i="3" s="1"/>
  <c r="I17" i="3"/>
  <c r="I18" i="3" s="1"/>
  <c r="I19" i="3" s="1"/>
  <c r="Q17" i="3"/>
  <c r="Q18" i="3" s="1"/>
  <c r="Q19" i="3" s="1"/>
  <c r="M19" i="3"/>
  <c r="L19" i="3"/>
  <c r="J3" i="3"/>
  <c r="N19" i="2"/>
  <c r="H10" i="2"/>
  <c r="Q10" i="2"/>
  <c r="Q19" i="2"/>
  <c r="J19" i="2"/>
  <c r="I17" i="2"/>
  <c r="I18" i="2" s="1"/>
  <c r="I19" i="2" s="1"/>
  <c r="I10" i="2"/>
  <c r="L19" i="2"/>
  <c r="K3" i="2"/>
  <c r="Q10" i="1"/>
  <c r="P19" i="1"/>
  <c r="I17" i="1"/>
  <c r="I18" i="1" s="1"/>
  <c r="I19" i="1" s="1"/>
  <c r="H17" i="1"/>
  <c r="H18" i="1" s="1"/>
  <c r="H19" i="1" s="1"/>
  <c r="Q17" i="1"/>
  <c r="Q18" i="1" s="1"/>
  <c r="Q19" i="1" s="1"/>
  <c r="I4" i="1"/>
  <c r="I10" i="1" s="1"/>
  <c r="J3" i="1"/>
  <c r="K19" i="1"/>
  <c r="H4" i="1"/>
  <c r="M19" i="1"/>
  <c r="N19" i="1"/>
  <c r="O19" i="1"/>
  <c r="H11" i="2" l="1"/>
  <c r="H14" i="2" s="1"/>
  <c r="G17" i="2"/>
  <c r="G18" i="2" s="1"/>
  <c r="G19" i="2" s="1"/>
  <c r="G14" i="2"/>
  <c r="I11" i="2"/>
  <c r="I14" i="2" s="1"/>
  <c r="H11" i="3"/>
  <c r="H14" i="3" s="1"/>
  <c r="J4" i="4"/>
  <c r="J10" i="4" s="1"/>
  <c r="K3" i="4"/>
  <c r="G17" i="4"/>
  <c r="G18" i="4" s="1"/>
  <c r="G19" i="4" s="1"/>
  <c r="G10" i="4"/>
  <c r="G14" i="4"/>
  <c r="J4" i="3"/>
  <c r="J10" i="3" s="1"/>
  <c r="K3" i="3"/>
  <c r="L3" i="2"/>
  <c r="K4" i="2"/>
  <c r="K10" i="2" s="1"/>
  <c r="H10" i="1"/>
  <c r="H11" i="1" s="1"/>
  <c r="H14" i="1" s="1"/>
  <c r="G13" i="1"/>
  <c r="K3" i="1"/>
  <c r="J4" i="1"/>
  <c r="J10" i="1" s="1"/>
  <c r="I11" i="1" s="1"/>
  <c r="I14" i="1" s="1"/>
  <c r="I11" i="4" l="1"/>
  <c r="I14" i="4" s="1"/>
  <c r="K4" i="4"/>
  <c r="K10" i="4" s="1"/>
  <c r="L3" i="4"/>
  <c r="K4" i="3"/>
  <c r="K10" i="3" s="1"/>
  <c r="L3" i="3"/>
  <c r="I11" i="3"/>
  <c r="I14" i="3" s="1"/>
  <c r="L4" i="2"/>
  <c r="L10" i="2" s="1"/>
  <c r="K11" i="2" s="1"/>
  <c r="K14" i="2" s="1"/>
  <c r="M3" i="2"/>
  <c r="J11" i="2"/>
  <c r="J14" i="2" s="1"/>
  <c r="K4" i="1"/>
  <c r="K10" i="1" s="1"/>
  <c r="J11" i="1" s="1"/>
  <c r="J14" i="1" s="1"/>
  <c r="L3" i="1"/>
  <c r="G17" i="1"/>
  <c r="G18" i="1" s="1"/>
  <c r="G19" i="1" s="1"/>
  <c r="G14" i="1"/>
  <c r="G10" i="1"/>
  <c r="L4" i="4" l="1"/>
  <c r="L10" i="4" s="1"/>
  <c r="M3" i="4"/>
  <c r="J11" i="4"/>
  <c r="J14" i="4" s="1"/>
  <c r="L4" i="3"/>
  <c r="L10" i="3" s="1"/>
  <c r="K11" i="3" s="1"/>
  <c r="K14" i="3" s="1"/>
  <c r="M3" i="3"/>
  <c r="J11" i="3"/>
  <c r="J14" i="3" s="1"/>
  <c r="M4" i="2"/>
  <c r="M10" i="2" s="1"/>
  <c r="L11" i="2" s="1"/>
  <c r="L14" i="2" s="1"/>
  <c r="N3" i="2"/>
  <c r="L4" i="1"/>
  <c r="L10" i="1" s="1"/>
  <c r="K11" i="1" s="1"/>
  <c r="K14" i="1" s="1"/>
  <c r="M3" i="1"/>
  <c r="K11" i="4" l="1"/>
  <c r="K14" i="4" s="1"/>
  <c r="N3" i="4"/>
  <c r="M4" i="4"/>
  <c r="M10" i="4" s="1"/>
  <c r="M4" i="3"/>
  <c r="M10" i="3" s="1"/>
  <c r="N3" i="3"/>
  <c r="N4" i="2"/>
  <c r="N10" i="2" s="1"/>
  <c r="O3" i="2"/>
  <c r="N3" i="1"/>
  <c r="M4" i="1"/>
  <c r="M10" i="1" s="1"/>
  <c r="L11" i="1" s="1"/>
  <c r="L14" i="1" s="1"/>
  <c r="N4" i="4" l="1"/>
  <c r="N10" i="4" s="1"/>
  <c r="O3" i="4"/>
  <c r="L11" i="4"/>
  <c r="L14" i="4" s="1"/>
  <c r="L11" i="3"/>
  <c r="L14" i="3" s="1"/>
  <c r="N4" i="3"/>
  <c r="N10" i="3" s="1"/>
  <c r="M11" i="3" s="1"/>
  <c r="M14" i="3" s="1"/>
  <c r="O3" i="3"/>
  <c r="M11" i="2"/>
  <c r="M14" i="2" s="1"/>
  <c r="O4" i="2"/>
  <c r="O10" i="2" s="1"/>
  <c r="N11" i="2" s="1"/>
  <c r="N14" i="2" s="1"/>
  <c r="P3" i="2"/>
  <c r="P4" i="2" s="1"/>
  <c r="P10" i="2" s="1"/>
  <c r="P11" i="2" s="1"/>
  <c r="P14" i="2" s="1"/>
  <c r="O3" i="1"/>
  <c r="N4" i="1"/>
  <c r="N10" i="1" s="1"/>
  <c r="M11" i="1" s="1"/>
  <c r="M14" i="1" s="1"/>
  <c r="M11" i="4" l="1"/>
  <c r="M14" i="4" s="1"/>
  <c r="O4" i="4"/>
  <c r="O10" i="4" s="1"/>
  <c r="P3" i="4"/>
  <c r="P4" i="4" s="1"/>
  <c r="P10" i="4" s="1"/>
  <c r="P11" i="4" s="1"/>
  <c r="P14" i="4" s="1"/>
  <c r="O4" i="3"/>
  <c r="O10" i="3" s="1"/>
  <c r="N11" i="3" s="1"/>
  <c r="N14" i="3" s="1"/>
  <c r="P3" i="3"/>
  <c r="P4" i="3" s="1"/>
  <c r="P10" i="3" s="1"/>
  <c r="P11" i="3" s="1"/>
  <c r="P14" i="3" s="1"/>
  <c r="O11" i="2"/>
  <c r="O14" i="2" s="1"/>
  <c r="O4" i="1"/>
  <c r="O10" i="1" s="1"/>
  <c r="P3" i="1"/>
  <c r="P4" i="1" s="1"/>
  <c r="P10" i="1" s="1"/>
  <c r="P11" i="1" s="1"/>
  <c r="P14" i="1" s="1"/>
  <c r="O11" i="4" l="1"/>
  <c r="O14" i="4" s="1"/>
  <c r="N11" i="4"/>
  <c r="N14" i="4" s="1"/>
  <c r="O11" i="3"/>
  <c r="O14" i="3" s="1"/>
  <c r="O11" i="1"/>
  <c r="O14" i="1" s="1"/>
  <c r="N11" i="1"/>
  <c r="N14" i="1" s="1"/>
</calcChain>
</file>

<file path=xl/sharedStrings.xml><?xml version="1.0" encoding="utf-8"?>
<sst xmlns="http://schemas.openxmlformats.org/spreadsheetml/2006/main" count="108" uniqueCount="22">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</sst>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2" fontId="0" fillId="0" borderId="0" xfId="0" applyNumberFormat="1"/>
    <xf numFmtId="0" fontId="1" fillId="2" borderId="1" xfId="1"/>
    <xf numFmtId="0" fontId="0" fillId="0" borderId="2" xfId="0" applyBorder="1"/>
    <xf numFmtId="164" fontId="0" fillId="0" borderId="2" xfId="0" applyNumberFormat="1" applyBorder="1"/>
    <xf numFmtId="0" fontId="1" fillId="3" borderId="1" xfId="1" applyFill="1"/>
    <xf numFmtId="0" fontId="1" fillId="0" borderId="1" xfId="1" applyFill="1"/>
    <xf numFmtId="0" fontId="0" fillId="4" borderId="2" xfId="0" applyFill="1" applyBorder="1"/>
    <xf numFmtId="0" fontId="0" fillId="5" borderId="2" xfId="0" applyFill="1" applyBorder="1"/>
    <xf numFmtId="0" fontId="0" fillId="0" borderId="0" xfId="0" applyFill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6-4524-A5BE-71B1F9053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0-41FB-A7A7-57C4FB0BF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0-429D-9FA6-90DADD87B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19-4FE2-B396-753D38702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B1-40CA-89C0-E8C5C09B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ro_var!$G$10:$Q$10</c:f>
              <c:numCache>
                <c:formatCode>0.000</c:formatCode>
                <c:ptCount val="11"/>
                <c:pt idx="0">
                  <c:v>1.330578576341181</c:v>
                </c:pt>
                <c:pt idx="1">
                  <c:v>1.3305785994614194</c:v>
                </c:pt>
                <c:pt idx="2">
                  <c:v>1.3305799081348795</c:v>
                </c:pt>
                <c:pt idx="3">
                  <c:v>1.330581942782141</c:v>
                </c:pt>
                <c:pt idx="4">
                  <c:v>1.3305844284281223</c:v>
                </c:pt>
                <c:pt idx="5">
                  <c:v>1.3305870590693754</c:v>
                </c:pt>
                <c:pt idx="6">
                  <c:v>1.3305895227397542</c:v>
                </c:pt>
                <c:pt idx="7">
                  <c:v>1.3305915421098378</c:v>
                </c:pt>
                <c:pt idx="8">
                  <c:v>1.3305929300971522</c:v>
                </c:pt>
                <c:pt idx="9">
                  <c:v>1.3305936507057201</c:v>
                </c:pt>
                <c:pt idx="10">
                  <c:v>1.3305938574595206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3-454B-90FA-6A4C4D5F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ro_var!$G$14:$Q$14</c:f>
              <c:numCache>
                <c:formatCode>General</c:formatCode>
                <c:ptCount val="11"/>
                <c:pt idx="0">
                  <c:v>133152.12319636837</c:v>
                </c:pt>
                <c:pt idx="1">
                  <c:v>132690.49856125729</c:v>
                </c:pt>
                <c:pt idx="2">
                  <c:v>132086.63987513504</c:v>
                </c:pt>
                <c:pt idx="3">
                  <c:v>131284.79891227561</c:v>
                </c:pt>
                <c:pt idx="4">
                  <c:v>130202.05467659258</c:v>
                </c:pt>
                <c:pt idx="5">
                  <c:v>128712.09747995976</c:v>
                </c:pt>
                <c:pt idx="6">
                  <c:v>126617.27960642624</c:v>
                </c:pt>
                <c:pt idx="7">
                  <c:v>123598.70791569991</c:v>
                </c:pt>
                <c:pt idx="8">
                  <c:v>119123.4466642045</c:v>
                </c:pt>
                <c:pt idx="9">
                  <c:v>112263.7262230605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93-4DD7-AF19-DABFE398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ro_var!$G$13:$Q$13</c:f>
              <c:numCache>
                <c:formatCode>General</c:formatCode>
                <c:ptCount val="11"/>
                <c:pt idx="0">
                  <c:v>55.846033121538973</c:v>
                </c:pt>
                <c:pt idx="1">
                  <c:v>62.141462415071146</c:v>
                </c:pt>
                <c:pt idx="2">
                  <c:v>69.532561583407571</c:v>
                </c:pt>
                <c:pt idx="3">
                  <c:v>78.286714201119125</c:v>
                </c:pt>
                <c:pt idx="4">
                  <c:v>88.757833031048818</c:v>
                </c:pt>
                <c:pt idx="5">
                  <c:v>101.42217800047841</c:v>
                </c:pt>
                <c:pt idx="6">
                  <c:v>116.93275674215805</c:v>
                </c:pt>
                <c:pt idx="7">
                  <c:v>136.20415562326261</c:v>
                </c:pt>
                <c:pt idx="8">
                  <c:v>160.54891592983591</c:v>
                </c:pt>
                <c:pt idx="9">
                  <c:v>191.90459326202193</c:v>
                </c:pt>
                <c:pt idx="10">
                  <c:v>233.2275216546206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4-A27A-82957685A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B-4CA2-86AE-3CC5551D9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ro_const_p105!$G$10:$Q$10</c:f>
              <c:numCache>
                <c:formatCode>0.000</c:formatCode>
                <c:ptCount val="11"/>
                <c:pt idx="0">
                  <c:v>0.9830574325688155</c:v>
                </c:pt>
                <c:pt idx="1">
                  <c:v>0.98256753595119328</c:v>
                </c:pt>
                <c:pt idx="2">
                  <c:v>0.95553111585515449</c:v>
                </c:pt>
                <c:pt idx="3">
                  <c:v>0.93164454265286645</c:v>
                </c:pt>
                <c:pt idx="4">
                  <c:v>0.91145991742539012</c:v>
                </c:pt>
                <c:pt idx="5">
                  <c:v>0.89546187580690784</c:v>
                </c:pt>
                <c:pt idx="6">
                  <c:v>0.88395327867129569</c:v>
                </c:pt>
                <c:pt idx="7">
                  <c:v>0.87689408479318998</c:v>
                </c:pt>
                <c:pt idx="8">
                  <c:v>0.87371926002888034</c:v>
                </c:pt>
                <c:pt idx="9">
                  <c:v>0.87322841556419906</c:v>
                </c:pt>
                <c:pt idx="10">
                  <c:v>0.87374061034113049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8-4ACE-B3B1-EF8BB7E28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in val="0.8600000000000001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ro_const_p105!$G$14:$Q$14</c:f>
              <c:numCache>
                <c:formatCode>General</c:formatCode>
                <c:ptCount val="11"/>
                <c:pt idx="0">
                  <c:v>113991.32851669773</c:v>
                </c:pt>
                <c:pt idx="1">
                  <c:v>113753.65573189568</c:v>
                </c:pt>
                <c:pt idx="2">
                  <c:v>113532.08038600779</c:v>
                </c:pt>
                <c:pt idx="3">
                  <c:v>113238.77469130284</c:v>
                </c:pt>
                <c:pt idx="4">
                  <c:v>112840.42921733146</c:v>
                </c:pt>
                <c:pt idx="5">
                  <c:v>112284.64123142784</c:v>
                </c:pt>
                <c:pt idx="6">
                  <c:v>111487.46426519114</c:v>
                </c:pt>
                <c:pt idx="7">
                  <c:v>110312.12068645691</c:v>
                </c:pt>
                <c:pt idx="8">
                  <c:v>108531.85418292694</c:v>
                </c:pt>
                <c:pt idx="9">
                  <c:v>105762.0991981875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5-40C2-BD58-B1F6A4A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ro_const_p105!$G$13:$Q$13</c:f>
              <c:numCache>
                <c:formatCode>General</c:formatCode>
                <c:ptCount val="11"/>
                <c:pt idx="0">
                  <c:v>41.260139698458488</c:v>
                </c:pt>
                <c:pt idx="1">
                  <c:v>45.694823412536678</c:v>
                </c:pt>
                <c:pt idx="2">
                  <c:v>49.512130920997542</c:v>
                </c:pt>
                <c:pt idx="3">
                  <c:v>54.120798537000816</c:v>
                </c:pt>
                <c:pt idx="4">
                  <c:v>59.773598731038064</c:v>
                </c:pt>
                <c:pt idx="5">
                  <c:v>66.815369847637285</c:v>
                </c:pt>
                <c:pt idx="6">
                  <c:v>75.715541722005767</c:v>
                </c:pt>
                <c:pt idx="7">
                  <c:v>87.110845731206098</c:v>
                </c:pt>
                <c:pt idx="8">
                  <c:v>101.8641138567961</c:v>
                </c:pt>
                <c:pt idx="9">
                  <c:v>121.15861037185394</c:v>
                </c:pt>
                <c:pt idx="10">
                  <c:v>146.68790835012715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667-8AAB-75E94B70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1-4224-BDD8-266AC3CD4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ro_var_p105!$G$10:$Q$10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D-40D7-8BEA-54BD7F0EB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ro_var_p105!$G$14:$Q$14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F-4923-A75C-EFDCAB32F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ro_var_p105!$G$13:$Q$13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9-40BB-8F52-7743F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29</xdr:row>
      <xdr:rowOff>19396</xdr:rowOff>
    </xdr:from>
    <xdr:to>
      <xdr:col>6</xdr:col>
      <xdr:colOff>15240</xdr:colOff>
      <xdr:row>42</xdr:row>
      <xdr:rowOff>34636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51954</xdr:colOff>
      <xdr:row>28</xdr:row>
      <xdr:rowOff>171104</xdr:rowOff>
    </xdr:from>
    <xdr:to>
      <xdr:col>15</xdr:col>
      <xdr:colOff>519546</xdr:colOff>
      <xdr:row>42</xdr:row>
      <xdr:rowOff>34636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324890</xdr:colOff>
      <xdr:row>28</xdr:row>
      <xdr:rowOff>175259</xdr:rowOff>
    </xdr:from>
    <xdr:to>
      <xdr:col>10</xdr:col>
      <xdr:colOff>622070</xdr:colOff>
      <xdr:row>42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849650</xdr:colOff>
      <xdr:row>28</xdr:row>
      <xdr:rowOff>188586</xdr:rowOff>
    </xdr:from>
    <xdr:to>
      <xdr:col>21</xdr:col>
      <xdr:colOff>543097</xdr:colOff>
      <xdr:row>42</xdr:row>
      <xdr:rowOff>51956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26</xdr:row>
      <xdr:rowOff>175260</xdr:rowOff>
    </xdr:from>
    <xdr:to>
      <xdr:col>6</xdr:col>
      <xdr:colOff>15240</xdr:colOff>
      <xdr:row>40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544286</xdr:colOff>
      <xdr:row>27</xdr:row>
      <xdr:rowOff>15239</xdr:rowOff>
    </xdr:from>
    <xdr:to>
      <xdr:col>14</xdr:col>
      <xdr:colOff>762000</xdr:colOff>
      <xdr:row>40</xdr:row>
      <xdr:rowOff>13606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139338</xdr:colOff>
      <xdr:row>26</xdr:row>
      <xdr:rowOff>175258</xdr:rowOff>
    </xdr:from>
    <xdr:to>
      <xdr:col>10</xdr:col>
      <xdr:colOff>436518</xdr:colOff>
      <xdr:row>40</xdr:row>
      <xdr:rowOff>22859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902843</xdr:colOff>
      <xdr:row>26</xdr:row>
      <xdr:rowOff>182401</xdr:rowOff>
    </xdr:from>
    <xdr:to>
      <xdr:col>20</xdr:col>
      <xdr:colOff>95250</xdr:colOff>
      <xdr:row>40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28</xdr:row>
      <xdr:rowOff>175260</xdr:rowOff>
    </xdr:from>
    <xdr:to>
      <xdr:col>6</xdr:col>
      <xdr:colOff>15240</xdr:colOff>
      <xdr:row>42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799821</xdr:colOff>
      <xdr:row>28</xdr:row>
      <xdr:rowOff>142706</xdr:rowOff>
    </xdr:from>
    <xdr:to>
      <xdr:col>15</xdr:col>
      <xdr:colOff>5436</xdr:colOff>
      <xdr:row>42</xdr:row>
      <xdr:rowOff>11206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243393</xdr:colOff>
      <xdr:row>28</xdr:row>
      <xdr:rowOff>175259</xdr:rowOff>
    </xdr:from>
    <xdr:to>
      <xdr:col>10</xdr:col>
      <xdr:colOff>540573</xdr:colOff>
      <xdr:row>42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164654</xdr:colOff>
      <xdr:row>28</xdr:row>
      <xdr:rowOff>148382</xdr:rowOff>
    </xdr:from>
    <xdr:to>
      <xdr:col>20</xdr:col>
      <xdr:colOff>393110</xdr:colOff>
      <xdr:row>42</xdr:row>
      <xdr:rowOff>40821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29</xdr:row>
      <xdr:rowOff>25581</xdr:rowOff>
    </xdr:from>
    <xdr:to>
      <xdr:col>6</xdr:col>
      <xdr:colOff>15240</xdr:colOff>
      <xdr:row>42</xdr:row>
      <xdr:rowOff>40821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625928</xdr:colOff>
      <xdr:row>29</xdr:row>
      <xdr:rowOff>28848</xdr:rowOff>
    </xdr:from>
    <xdr:to>
      <xdr:col>15</xdr:col>
      <xdr:colOff>68035</xdr:colOff>
      <xdr:row>42</xdr:row>
      <xdr:rowOff>54430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193767</xdr:colOff>
      <xdr:row>29</xdr:row>
      <xdr:rowOff>11973</xdr:rowOff>
    </xdr:from>
    <xdr:to>
      <xdr:col>10</xdr:col>
      <xdr:colOff>490947</xdr:colOff>
      <xdr:row>42</xdr:row>
      <xdr:rowOff>50074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276912</xdr:colOff>
      <xdr:row>28</xdr:row>
      <xdr:rowOff>182401</xdr:rowOff>
    </xdr:from>
    <xdr:to>
      <xdr:col>20</xdr:col>
      <xdr:colOff>367392</xdr:colOff>
      <xdr:row>42</xdr:row>
      <xdr:rowOff>95251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1:R26"/>
  <sheetViews>
    <sheetView topLeftCell="A13" zoomScale="55" zoomScaleNormal="55" workbookViewId="0">
      <selection activeCell="S49" sqref="S49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7" t="s">
        <v>9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25">
      <c r="B3" s="5" t="s">
        <v>0</v>
      </c>
      <c r="C3" s="6">
        <v>0.1</v>
      </c>
      <c r="F3" s="7" t="s">
        <v>3</v>
      </c>
      <c r="G3" s="8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8">
        <v>0.04</v>
      </c>
    </row>
    <row r="4" spans="2:17" x14ac:dyDescent="0.25">
      <c r="B4" s="5" t="s">
        <v>1</v>
      </c>
      <c r="C4" s="6">
        <v>0.01</v>
      </c>
      <c r="F4" s="7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25">
      <c r="F5" s="7" t="s">
        <v>12</v>
      </c>
      <c r="G5" s="3">
        <v>57.428248184760704</v>
      </c>
      <c r="H5" s="3">
        <v>63.632407960953699</v>
      </c>
      <c r="I5" s="3">
        <v>70.899071833026269</v>
      </c>
      <c r="J5" s="3">
        <v>79.485464615561398</v>
      </c>
      <c r="K5" s="3">
        <v>89.731637788649905</v>
      </c>
      <c r="L5" s="3">
        <v>102.09466343952555</v>
      </c>
      <c r="M5" s="3">
        <v>117.2005064994591</v>
      </c>
      <c r="N5" s="3">
        <v>135.92484777452665</v>
      </c>
      <c r="O5" s="3">
        <v>159.52291162427707</v>
      </c>
      <c r="P5" s="3">
        <v>189.84544854460057</v>
      </c>
      <c r="Q5" s="3">
        <v>229.71299273897273</v>
      </c>
    </row>
    <row r="6" spans="2:17" x14ac:dyDescent="0.25">
      <c r="B6" s="5" t="s">
        <v>2</v>
      </c>
      <c r="C6" s="6">
        <v>1.4</v>
      </c>
      <c r="F6" s="7" t="s">
        <v>7</v>
      </c>
      <c r="G6" s="3">
        <v>133045.93281392951</v>
      </c>
      <c r="H6" s="3">
        <v>132578.11184719813</v>
      </c>
      <c r="I6" s="3">
        <v>131967.60017443288</v>
      </c>
      <c r="J6" s="3">
        <v>131158.84547209844</v>
      </c>
      <c r="K6" s="3">
        <v>130069.34948073192</v>
      </c>
      <c r="L6" s="3">
        <v>128573.64373337128</v>
      </c>
      <c r="M6" s="3">
        <v>126475.7049709665</v>
      </c>
      <c r="N6" s="3">
        <v>123459.75763453866</v>
      </c>
      <c r="O6" s="3">
        <v>118998.90588753944</v>
      </c>
      <c r="P6" s="3">
        <v>112177.34007470035</v>
      </c>
      <c r="Q6" s="3">
        <v>101325</v>
      </c>
    </row>
    <row r="7" spans="2:17" x14ac:dyDescent="0.25">
      <c r="B7" s="5" t="s">
        <v>3</v>
      </c>
      <c r="C7" s="6">
        <v>286.97199999999998</v>
      </c>
      <c r="F7" s="7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25">
      <c r="B8" s="5" t="s">
        <v>4</v>
      </c>
      <c r="C8" s="6">
        <v>1004.4</v>
      </c>
    </row>
    <row r="10" spans="2:17" x14ac:dyDescent="0.25">
      <c r="B10" s="5" t="s">
        <v>5</v>
      </c>
      <c r="C10" s="6">
        <v>135000</v>
      </c>
      <c r="F10" s="7" t="s">
        <v>14</v>
      </c>
      <c r="G10" s="4">
        <f>G4*G7*G13</f>
        <v>1.3682761772022025</v>
      </c>
      <c r="H10" s="4">
        <f>H4*H7*H13</f>
        <v>1.3682761772022023</v>
      </c>
      <c r="I10" s="4">
        <f t="shared" ref="I10:Q10" si="3">I4*I7*I13</f>
        <v>1.3682761772019776</v>
      </c>
      <c r="J10" s="4">
        <f t="shared" si="3"/>
        <v>1.3682761772017826</v>
      </c>
      <c r="K10" s="4">
        <f t="shared" si="3"/>
        <v>1.3682761772016117</v>
      </c>
      <c r="L10" s="4">
        <f t="shared" si="3"/>
        <v>1.3682761772015444</v>
      </c>
      <c r="M10" s="4">
        <f t="shared" si="3"/>
        <v>1.3682761772015879</v>
      </c>
      <c r="N10" s="4">
        <f t="shared" si="3"/>
        <v>1.3682761772016485</v>
      </c>
      <c r="O10" s="4">
        <f t="shared" si="3"/>
        <v>1.3682761772017016</v>
      </c>
      <c r="P10" s="4">
        <f t="shared" si="3"/>
        <v>1.3682761772017469</v>
      </c>
      <c r="Q10" s="4">
        <f t="shared" si="3"/>
        <v>1.3682761772017846</v>
      </c>
    </row>
    <row r="11" spans="2:17" x14ac:dyDescent="0.25">
      <c r="B11" s="5" t="s">
        <v>6</v>
      </c>
      <c r="C11" s="6">
        <v>288.16000000000003</v>
      </c>
      <c r="F11" s="7" t="s">
        <v>15</v>
      </c>
      <c r="G11" s="4">
        <v>0</v>
      </c>
      <c r="H11" s="4">
        <f>(H13)*(H10-I10)</f>
        <v>1.4298783680751804E-11</v>
      </c>
      <c r="I11" s="4">
        <f t="shared" ref="I11:P11" si="4">(I13)*(I10-J10)</f>
        <v>1.3822140114560414E-11</v>
      </c>
      <c r="J11" s="4">
        <f t="shared" si="4"/>
        <v>1.3589975312640562E-11</v>
      </c>
      <c r="K11" s="4">
        <f t="shared" si="4"/>
        <v>6.0371010968032034E-12</v>
      </c>
      <c r="L11" s="4">
        <f t="shared" si="4"/>
        <v>-4.4432355648431638E-12</v>
      </c>
      <c r="M11" s="4">
        <f t="shared" si="4"/>
        <v>-7.1044810644132678E-12</v>
      </c>
      <c r="N11" s="4">
        <f t="shared" si="4"/>
        <v>-7.2133496105379602E-12</v>
      </c>
      <c r="O11" s="4">
        <f t="shared" si="4"/>
        <v>-7.2259251851730708E-12</v>
      </c>
      <c r="P11" s="4">
        <f t="shared" si="4"/>
        <v>-7.1662067952132033E-12</v>
      </c>
      <c r="Q11" s="4">
        <v>0</v>
      </c>
    </row>
    <row r="12" spans="2:17" x14ac:dyDescent="0.25">
      <c r="B12" s="5" t="s">
        <v>7</v>
      </c>
      <c r="C12" s="6">
        <v>101325</v>
      </c>
    </row>
    <row r="13" spans="2:17" x14ac:dyDescent="0.25">
      <c r="F13" s="7" t="s">
        <v>12</v>
      </c>
      <c r="G13" s="8">
        <f>(H4*H5*H7)/(G4*G7)</f>
        <v>57.428248184760719</v>
      </c>
      <c r="H13" s="3">
        <f t="shared" ref="H13:Q13" si="5">((G6-H6)/H7+G5*H5)^0.5</f>
        <v>63.632407960953707</v>
      </c>
      <c r="I13" s="3">
        <f t="shared" si="5"/>
        <v>70.899071833026269</v>
      </c>
      <c r="J13" s="3">
        <f t="shared" si="5"/>
        <v>79.485464615561398</v>
      </c>
      <c r="K13" s="3">
        <f t="shared" si="5"/>
        <v>89.731637788649905</v>
      </c>
      <c r="L13" s="3">
        <f t="shared" si="5"/>
        <v>102.09466343952555</v>
      </c>
      <c r="M13" s="3">
        <f t="shared" si="5"/>
        <v>117.20050649945911</v>
      </c>
      <c r="N13" s="3">
        <f t="shared" si="5"/>
        <v>135.92484777452665</v>
      </c>
      <c r="O13" s="3">
        <f t="shared" si="5"/>
        <v>159.52291162427707</v>
      </c>
      <c r="P13" s="3">
        <f t="shared" si="5"/>
        <v>189.84544854460057</v>
      </c>
      <c r="Q13" s="3">
        <f t="shared" si="5"/>
        <v>229.71299273897273</v>
      </c>
    </row>
    <row r="14" spans="2:17" x14ac:dyDescent="0.25">
      <c r="B14" s="5" t="s">
        <v>8</v>
      </c>
      <c r="C14" s="6">
        <v>2000</v>
      </c>
      <c r="F14" s="7" t="s">
        <v>7</v>
      </c>
      <c r="G14" s="8">
        <f>C10-(G7*G13^2)/2</f>
        <v>133045.93281392948</v>
      </c>
      <c r="H14" s="3">
        <f>H6+H11</f>
        <v>132578.11184719813</v>
      </c>
      <c r="I14" s="3">
        <f t="shared" ref="I14:Q14" si="6">I6+I11</f>
        <v>131967.60017443288</v>
      </c>
      <c r="J14" s="3">
        <f t="shared" si="6"/>
        <v>131158.84547209844</v>
      </c>
      <c r="K14" s="3">
        <f t="shared" si="6"/>
        <v>130069.34948073192</v>
      </c>
      <c r="L14" s="3">
        <f t="shared" si="6"/>
        <v>128573.64373337128</v>
      </c>
      <c r="M14" s="3">
        <f t="shared" si="6"/>
        <v>126475.7049709665</v>
      </c>
      <c r="N14" s="3">
        <f t="shared" si="6"/>
        <v>123459.75763453866</v>
      </c>
      <c r="O14" s="3">
        <f t="shared" si="6"/>
        <v>118998.90588753944</v>
      </c>
      <c r="P14" s="3">
        <f t="shared" si="6"/>
        <v>112177.34007470035</v>
      </c>
      <c r="Q14" s="8">
        <f t="shared" si="6"/>
        <v>101325</v>
      </c>
    </row>
    <row r="15" spans="2:17" x14ac:dyDescent="0.25">
      <c r="F15" s="7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25">
      <c r="F17" s="7" t="s">
        <v>16</v>
      </c>
      <c r="G17" s="3">
        <f>$C$11-(G13^2)/(2*$C$8)</f>
        <v>286.51822197850936</v>
      </c>
      <c r="H17" s="3">
        <f t="shared" ref="H17:Q17" si="7">$C$11-(H13^2)/(2*$C$8)</f>
        <v>286.14432728847612</v>
      </c>
      <c r="I17" s="3">
        <f t="shared" si="7"/>
        <v>285.65767105397026</v>
      </c>
      <c r="J17" s="3">
        <f t="shared" si="7"/>
        <v>285.01486903367601</v>
      </c>
      <c r="K17" s="3">
        <f t="shared" si="7"/>
        <v>284.15175287722349</v>
      </c>
      <c r="L17" s="3">
        <f t="shared" si="7"/>
        <v>282.97117069751596</v>
      </c>
      <c r="M17" s="3">
        <f t="shared" si="7"/>
        <v>281.32210736572597</v>
      </c>
      <c r="N17" s="3">
        <f t="shared" si="7"/>
        <v>278.96268606007158</v>
      </c>
      <c r="O17" s="3">
        <f t="shared" si="7"/>
        <v>275.49195971072936</v>
      </c>
      <c r="P17" s="3">
        <f t="shared" si="7"/>
        <v>270.21829632959953</v>
      </c>
      <c r="Q17" s="3">
        <f t="shared" si="7"/>
        <v>261.89155165616523</v>
      </c>
      <c r="R17" s="1"/>
    </row>
    <row r="18" spans="6:18" x14ac:dyDescent="0.25">
      <c r="F18" s="7" t="s">
        <v>17</v>
      </c>
      <c r="G18" s="3">
        <f>SQRT($C$6*$C$7*G17)</f>
        <v>339.28128459533912</v>
      </c>
      <c r="H18" s="3">
        <f t="shared" ref="H18:Q18" si="8">SQRT($C$6*$C$7*H17)</f>
        <v>339.05983815084909</v>
      </c>
      <c r="I18" s="3">
        <f t="shared" si="8"/>
        <v>338.77138965500012</v>
      </c>
      <c r="J18" s="3">
        <f t="shared" si="8"/>
        <v>338.39001432498696</v>
      </c>
      <c r="K18" s="3">
        <f t="shared" si="8"/>
        <v>337.8772492449819</v>
      </c>
      <c r="L18" s="3">
        <f t="shared" si="8"/>
        <v>337.17461932412789</v>
      </c>
      <c r="M18" s="3">
        <f t="shared" si="8"/>
        <v>336.19071211581672</v>
      </c>
      <c r="N18" s="3">
        <f t="shared" si="8"/>
        <v>334.77794419830468</v>
      </c>
      <c r="O18" s="3">
        <f t="shared" si="8"/>
        <v>332.68884881665389</v>
      </c>
      <c r="P18" s="3">
        <f t="shared" si="8"/>
        <v>329.48917874190795</v>
      </c>
      <c r="Q18" s="3">
        <f t="shared" si="8"/>
        <v>324.37287079320038</v>
      </c>
    </row>
    <row r="19" spans="6:18" x14ac:dyDescent="0.25">
      <c r="F19" s="7" t="s">
        <v>18</v>
      </c>
      <c r="G19" s="3">
        <f>G13/G18</f>
        <v>0.16926441508041154</v>
      </c>
      <c r="H19" s="3">
        <f t="shared" ref="H19:Q19" si="9">H13/H18</f>
        <v>0.18767309129854357</v>
      </c>
      <c r="I19" s="3">
        <f t="shared" si="9"/>
        <v>0.20928293828244723</v>
      </c>
      <c r="J19" s="3">
        <f t="shared" si="9"/>
        <v>0.23489305609125988</v>
      </c>
      <c r="K19" s="3">
        <f t="shared" si="9"/>
        <v>0.26557466650732947</v>
      </c>
      <c r="L19" s="3">
        <f t="shared" si="9"/>
        <v>0.30279462803035412</v>
      </c>
      <c r="M19" s="3">
        <f t="shared" si="9"/>
        <v>0.34861315995869591</v>
      </c>
      <c r="N19" s="3">
        <f t="shared" si="9"/>
        <v>0.4060149425316143</v>
      </c>
      <c r="O19" s="3">
        <f t="shared" si="9"/>
        <v>0.47949581776391537</v>
      </c>
      <c r="P19" s="3">
        <f t="shared" si="9"/>
        <v>0.57618113368545054</v>
      </c>
      <c r="Q19" s="3">
        <f t="shared" si="9"/>
        <v>0.70817572436698384</v>
      </c>
    </row>
    <row r="23" spans="6:18" x14ac:dyDescent="0.25">
      <c r="L23" s="6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8" x14ac:dyDescent="0.25">
      <c r="L24" s="5" t="s">
        <v>19</v>
      </c>
      <c r="M24" s="6"/>
      <c r="N24" s="6"/>
      <c r="O24" s="6"/>
      <c r="P24" s="6"/>
      <c r="Q24" s="6"/>
    </row>
    <row r="25" spans="6:18" x14ac:dyDescent="0.25">
      <c r="L25" s="5" t="s">
        <v>20</v>
      </c>
      <c r="M25" s="6"/>
      <c r="N25" s="6"/>
      <c r="O25" s="6"/>
      <c r="P25" s="6"/>
      <c r="Q25" s="6"/>
    </row>
    <row r="26" spans="6:18" x14ac:dyDescent="0.25">
      <c r="L26" s="5" t="s">
        <v>21</v>
      </c>
      <c r="M26" s="6"/>
      <c r="N26" s="6"/>
      <c r="O26" s="6"/>
      <c r="P26" s="6"/>
      <c r="Q2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1:R26"/>
  <sheetViews>
    <sheetView topLeftCell="A16" zoomScale="70" zoomScaleNormal="70" workbookViewId="0">
      <selection activeCell="I45" sqref="I45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7" t="s">
        <v>9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25">
      <c r="B3" s="5" t="s">
        <v>0</v>
      </c>
      <c r="C3" s="6">
        <v>0.1</v>
      </c>
      <c r="F3" s="7" t="s">
        <v>3</v>
      </c>
      <c r="G3" s="8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8">
        <v>0.04</v>
      </c>
    </row>
    <row r="4" spans="2:17" x14ac:dyDescent="0.25">
      <c r="B4" s="5" t="s">
        <v>1</v>
      </c>
      <c r="C4" s="6">
        <v>0.01</v>
      </c>
      <c r="F4" s="7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25">
      <c r="B5" s="9"/>
      <c r="C5" s="9"/>
      <c r="F5" s="7" t="s">
        <v>12</v>
      </c>
      <c r="G5" s="3">
        <v>55.846032157462993</v>
      </c>
      <c r="H5" s="3">
        <v>62.141461335296199</v>
      </c>
      <c r="I5" s="3">
        <v>69.532559946852786</v>
      </c>
      <c r="J5" s="3">
        <v>78.286712206181235</v>
      </c>
      <c r="K5" s="3">
        <v>88.757830904125129</v>
      </c>
      <c r="L5" s="3">
        <v>101.42217597723537</v>
      </c>
      <c r="M5" s="3">
        <v>116.93275503658897</v>
      </c>
      <c r="N5" s="3">
        <v>136.2041543848411</v>
      </c>
      <c r="O5" s="3">
        <v>160.54891519620145</v>
      </c>
      <c r="P5" s="3">
        <v>191.90459292824883</v>
      </c>
      <c r="Q5" s="3">
        <v>233.22752149835543</v>
      </c>
    </row>
    <row r="6" spans="2:17" x14ac:dyDescent="0.25">
      <c r="B6" s="5" t="s">
        <v>2</v>
      </c>
      <c r="C6" s="6">
        <v>1.4</v>
      </c>
      <c r="F6" s="7" t="s">
        <v>7</v>
      </c>
      <c r="G6" s="3">
        <v>133152.12326016856</v>
      </c>
      <c r="H6" s="3">
        <v>132690.49864258018</v>
      </c>
      <c r="I6" s="3">
        <v>132086.64001660928</v>
      </c>
      <c r="J6" s="3">
        <v>131284.79910686868</v>
      </c>
      <c r="K6" s="3">
        <v>130202.0549100826</v>
      </c>
      <c r="L6" s="3">
        <v>128712.09772983058</v>
      </c>
      <c r="M6" s="3">
        <v>126617.27984255675</v>
      </c>
      <c r="N6" s="3">
        <v>123598.70810474954</v>
      </c>
      <c r="O6" s="3">
        <v>119123.44677989742</v>
      </c>
      <c r="P6" s="3">
        <v>112263.7262627375</v>
      </c>
      <c r="Q6" s="3">
        <v>101325</v>
      </c>
    </row>
    <row r="7" spans="2:17" x14ac:dyDescent="0.25">
      <c r="B7" s="5" t="s">
        <v>3</v>
      </c>
      <c r="C7" s="6">
        <v>286.97199999999998</v>
      </c>
      <c r="F7" s="7" t="s">
        <v>13</v>
      </c>
      <c r="G7" s="3">
        <v>1.1850000000000001</v>
      </c>
      <c r="H7" s="3">
        <v>1.18</v>
      </c>
      <c r="I7" s="3">
        <v>1.175</v>
      </c>
      <c r="J7" s="3">
        <v>1.17</v>
      </c>
      <c r="K7" s="3">
        <v>1.165</v>
      </c>
      <c r="L7" s="3">
        <v>1.1599999999999999</v>
      </c>
      <c r="M7" s="3">
        <v>1.155</v>
      </c>
      <c r="N7" s="3">
        <v>1.1499999999999999</v>
      </c>
      <c r="O7" s="3">
        <v>1.145</v>
      </c>
      <c r="P7" s="3">
        <v>1.1399999999999999</v>
      </c>
      <c r="Q7" s="3">
        <v>1.135</v>
      </c>
    </row>
    <row r="8" spans="2:17" x14ac:dyDescent="0.25">
      <c r="B8" s="5" t="s">
        <v>4</v>
      </c>
      <c r="C8" s="6">
        <v>1004.4</v>
      </c>
    </row>
    <row r="9" spans="2:17" x14ac:dyDescent="0.25">
      <c r="B9" s="9"/>
      <c r="C9" s="9"/>
    </row>
    <row r="10" spans="2:17" x14ac:dyDescent="0.25">
      <c r="B10" s="5" t="s">
        <v>5</v>
      </c>
      <c r="C10" s="6">
        <v>135000</v>
      </c>
      <c r="F10" s="7" t="s">
        <v>14</v>
      </c>
      <c r="G10" s="4">
        <f>G4*G7*G13</f>
        <v>1.330578576341181</v>
      </c>
      <c r="H10" s="4">
        <f>H4*H7*H13</f>
        <v>1.3305785994614194</v>
      </c>
      <c r="I10" s="4">
        <f t="shared" ref="I10:Q10" si="3">I4*I7*I13</f>
        <v>1.3305799081348795</v>
      </c>
      <c r="J10" s="4">
        <f t="shared" si="3"/>
        <v>1.330581942782141</v>
      </c>
      <c r="K10" s="4">
        <f t="shared" si="3"/>
        <v>1.3305844284281223</v>
      </c>
      <c r="L10" s="4">
        <f t="shared" si="3"/>
        <v>1.3305870590693754</v>
      </c>
      <c r="M10" s="4">
        <f t="shared" si="3"/>
        <v>1.3305895227397542</v>
      </c>
      <c r="N10" s="4">
        <f t="shared" si="3"/>
        <v>1.3305915421098378</v>
      </c>
      <c r="O10" s="4">
        <f t="shared" si="3"/>
        <v>1.3305929300971522</v>
      </c>
      <c r="P10" s="4">
        <f t="shared" si="3"/>
        <v>1.3305936507057201</v>
      </c>
      <c r="Q10" s="4">
        <f t="shared" si="3"/>
        <v>1.3305938574595206</v>
      </c>
    </row>
    <row r="11" spans="2:17" x14ac:dyDescent="0.25">
      <c r="B11" s="5" t="s">
        <v>6</v>
      </c>
      <c r="C11" s="6">
        <v>288.16000000000003</v>
      </c>
      <c r="F11" s="7" t="s">
        <v>15</v>
      </c>
      <c r="G11" s="4">
        <v>0</v>
      </c>
      <c r="H11" s="4">
        <f>(H13)*(H10-I10)</f>
        <v>-8.1322882630872678E-5</v>
      </c>
      <c r="I11" s="4">
        <f t="shared" ref="I11:P11" si="4">(I13)*(I10-J10)</f>
        <v>-1.4147423601505553E-4</v>
      </c>
      <c r="J11" s="4">
        <f t="shared" si="4"/>
        <v>-1.9459305654045291E-4</v>
      </c>
      <c r="K11" s="4">
        <f t="shared" si="4"/>
        <v>-2.3349001710316683E-4</v>
      </c>
      <c r="L11" s="4">
        <f t="shared" si="4"/>
        <v>-2.4987081569479444E-4</v>
      </c>
      <c r="M11" s="4">
        <f t="shared" si="4"/>
        <v>-2.3613051075736474E-4</v>
      </c>
      <c r="N11" s="4">
        <f t="shared" si="4"/>
        <v>-1.8904964017586528E-4</v>
      </c>
      <c r="O11" s="4">
        <f t="shared" si="4"/>
        <v>-1.1569292439057312E-4</v>
      </c>
      <c r="P11" s="4">
        <f t="shared" si="4"/>
        <v>-3.9677003995049625E-5</v>
      </c>
      <c r="Q11" s="4">
        <v>0</v>
      </c>
    </row>
    <row r="12" spans="2:17" x14ac:dyDescent="0.25">
      <c r="B12" s="5" t="s">
        <v>7</v>
      </c>
      <c r="C12" s="6">
        <v>101325</v>
      </c>
    </row>
    <row r="13" spans="2:17" x14ac:dyDescent="0.25">
      <c r="B13" s="9"/>
      <c r="C13" s="9"/>
      <c r="F13" s="7" t="s">
        <v>12</v>
      </c>
      <c r="G13" s="8">
        <f>(H4*H5*H7)/(G4*G7)</f>
        <v>55.846033121538973</v>
      </c>
      <c r="H13" s="3">
        <f t="shared" ref="H13:Q13" si="5">((G6-H6)/H7+G5*H5)^0.5</f>
        <v>62.141462415071146</v>
      </c>
      <c r="I13" s="3">
        <f t="shared" si="5"/>
        <v>69.532561583407571</v>
      </c>
      <c r="J13" s="3">
        <f t="shared" si="5"/>
        <v>78.286714201119125</v>
      </c>
      <c r="K13" s="3">
        <f t="shared" si="5"/>
        <v>88.757833031048818</v>
      </c>
      <c r="L13" s="3">
        <f t="shared" si="5"/>
        <v>101.42217800047841</v>
      </c>
      <c r="M13" s="3">
        <f t="shared" si="5"/>
        <v>116.93275674215805</v>
      </c>
      <c r="N13" s="3">
        <f t="shared" si="5"/>
        <v>136.20415562326261</v>
      </c>
      <c r="O13" s="3">
        <f t="shared" si="5"/>
        <v>160.54891592983591</v>
      </c>
      <c r="P13" s="3">
        <f t="shared" si="5"/>
        <v>191.90459326202193</v>
      </c>
      <c r="Q13" s="3">
        <f t="shared" si="5"/>
        <v>233.2275216546206</v>
      </c>
    </row>
    <row r="14" spans="2:17" x14ac:dyDescent="0.25">
      <c r="B14" s="5" t="s">
        <v>8</v>
      </c>
      <c r="C14" s="6">
        <v>2000</v>
      </c>
      <c r="F14" s="7" t="s">
        <v>7</v>
      </c>
      <c r="G14" s="8">
        <f>C10-(G7*G13^2)/2</f>
        <v>133152.12319636837</v>
      </c>
      <c r="H14" s="3">
        <f>H6+H11</f>
        <v>132690.49856125729</v>
      </c>
      <c r="I14" s="3">
        <f t="shared" ref="I14:Q14" si="6">I6+I11</f>
        <v>132086.63987513504</v>
      </c>
      <c r="J14" s="3">
        <f t="shared" si="6"/>
        <v>131284.79891227561</v>
      </c>
      <c r="K14" s="3">
        <f t="shared" si="6"/>
        <v>130202.05467659258</v>
      </c>
      <c r="L14" s="3">
        <f t="shared" si="6"/>
        <v>128712.09747995976</v>
      </c>
      <c r="M14" s="3">
        <f t="shared" si="6"/>
        <v>126617.27960642624</v>
      </c>
      <c r="N14" s="3">
        <f t="shared" si="6"/>
        <v>123598.70791569991</v>
      </c>
      <c r="O14" s="3">
        <f t="shared" si="6"/>
        <v>119123.4466642045</v>
      </c>
      <c r="P14" s="3">
        <f t="shared" si="6"/>
        <v>112263.7262230605</v>
      </c>
      <c r="Q14" s="8">
        <f t="shared" si="6"/>
        <v>101325</v>
      </c>
    </row>
    <row r="15" spans="2:17" x14ac:dyDescent="0.25">
      <c r="F15" s="7" t="s">
        <v>13</v>
      </c>
      <c r="G15" s="3">
        <v>1.1850000000000001</v>
      </c>
      <c r="H15" s="3">
        <v>1.18</v>
      </c>
      <c r="I15" s="3">
        <v>1.175</v>
      </c>
      <c r="J15" s="3">
        <v>1.17</v>
      </c>
      <c r="K15" s="3">
        <v>1.165</v>
      </c>
      <c r="L15" s="3">
        <v>1.1599999999999999</v>
      </c>
      <c r="M15" s="3">
        <v>1.155</v>
      </c>
      <c r="N15" s="3">
        <v>1.1499999999999999</v>
      </c>
      <c r="O15" s="3">
        <v>1.145</v>
      </c>
      <c r="P15" s="3">
        <v>1.1399999999999999</v>
      </c>
      <c r="Q15" s="3">
        <v>1.135</v>
      </c>
    </row>
    <row r="17" spans="6:18" x14ac:dyDescent="0.25">
      <c r="F17" s="7" t="s">
        <v>16</v>
      </c>
      <c r="G17" s="3">
        <f>$C$11-(G13^2)/(2*$C$8)</f>
        <v>286.60744154947633</v>
      </c>
      <c r="H17" s="3">
        <f t="shared" ref="H17:Q17" si="7">$C$11-(H13^2)/(2*$C$8)</f>
        <v>286.23767754326781</v>
      </c>
      <c r="I17" s="3">
        <f t="shared" si="7"/>
        <v>285.75320135386784</v>
      </c>
      <c r="J17" s="3">
        <f t="shared" si="7"/>
        <v>285.10901950397869</v>
      </c>
      <c r="K17" s="3">
        <f t="shared" si="7"/>
        <v>284.23827910973341</v>
      </c>
      <c r="L17" s="3">
        <f t="shared" si="7"/>
        <v>283.0393019761247</v>
      </c>
      <c r="M17" s="3">
        <f t="shared" si="7"/>
        <v>281.35331461602914</v>
      </c>
      <c r="N17" s="3">
        <f t="shared" si="7"/>
        <v>278.92484866136704</v>
      </c>
      <c r="O17" s="3">
        <f t="shared" si="7"/>
        <v>275.32848147837245</v>
      </c>
      <c r="P17" s="3">
        <f t="shared" si="7"/>
        <v>269.8269788355924</v>
      </c>
      <c r="Q17" s="3">
        <f t="shared" si="7"/>
        <v>261.08160650280939</v>
      </c>
      <c r="R17" s="1"/>
    </row>
    <row r="18" spans="6:18" x14ac:dyDescent="0.25">
      <c r="F18" s="7" t="s">
        <v>17</v>
      </c>
      <c r="G18" s="3">
        <f>SQRT($C$6*$C$7*G17)</f>
        <v>339.33410527512683</v>
      </c>
      <c r="H18" s="3">
        <f t="shared" ref="H18:Q18" si="8">SQRT($C$6*$C$7*H17)</f>
        <v>339.11514021040892</v>
      </c>
      <c r="I18" s="3">
        <f t="shared" si="8"/>
        <v>338.82803127617854</v>
      </c>
      <c r="J18" s="3">
        <f t="shared" si="8"/>
        <v>338.44590079233353</v>
      </c>
      <c r="K18" s="3">
        <f t="shared" si="8"/>
        <v>337.92868834378322</v>
      </c>
      <c r="L18" s="3">
        <f t="shared" si="8"/>
        <v>337.21520783228243</v>
      </c>
      <c r="M18" s="3">
        <f t="shared" si="8"/>
        <v>336.2093585294549</v>
      </c>
      <c r="N18" s="3">
        <f t="shared" si="8"/>
        <v>334.75523944827171</v>
      </c>
      <c r="O18" s="3">
        <f t="shared" si="8"/>
        <v>332.59012460013918</v>
      </c>
      <c r="P18" s="3">
        <f t="shared" si="8"/>
        <v>329.25051689947378</v>
      </c>
      <c r="Q18" s="3">
        <f t="shared" si="8"/>
        <v>323.87089263139086</v>
      </c>
    </row>
    <row r="19" spans="6:18" x14ac:dyDescent="0.25">
      <c r="F19" s="7" t="s">
        <v>18</v>
      </c>
      <c r="G19" s="3">
        <f>G13/G18</f>
        <v>0.16457536172575365</v>
      </c>
      <c r="H19" s="3">
        <f t="shared" ref="H19:Q19" si="9">H13/H18</f>
        <v>0.18324590985974432</v>
      </c>
      <c r="I19" s="3">
        <f t="shared" si="9"/>
        <v>0.20521490303360296</v>
      </c>
      <c r="J19" s="3">
        <f t="shared" si="9"/>
        <v>0.23131234273437085</v>
      </c>
      <c r="K19" s="3">
        <f t="shared" si="9"/>
        <v>0.2626525539043707</v>
      </c>
      <c r="L19" s="3">
        <f t="shared" si="9"/>
        <v>0.30076395027510683</v>
      </c>
      <c r="M19" s="3">
        <f t="shared" si="9"/>
        <v>0.34779744755949055</v>
      </c>
      <c r="N19" s="3">
        <f t="shared" si="9"/>
        <v>0.40687684484863651</v>
      </c>
      <c r="O19" s="3">
        <f t="shared" si="9"/>
        <v>0.48272303972602298</v>
      </c>
      <c r="P19" s="3">
        <f t="shared" si="9"/>
        <v>0.58285282303934527</v>
      </c>
      <c r="Q19" s="3">
        <f t="shared" si="9"/>
        <v>0.72012498486569854</v>
      </c>
    </row>
    <row r="23" spans="6:18" x14ac:dyDescent="0.25">
      <c r="L23" s="6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8" x14ac:dyDescent="0.25">
      <c r="L24" s="5" t="s">
        <v>19</v>
      </c>
      <c r="M24" s="6"/>
      <c r="N24" s="6"/>
      <c r="O24" s="6"/>
      <c r="P24" s="6"/>
      <c r="Q24" s="6"/>
    </row>
    <row r="25" spans="6:18" x14ac:dyDescent="0.25">
      <c r="L25" s="5" t="s">
        <v>20</v>
      </c>
      <c r="M25" s="6"/>
      <c r="N25" s="6"/>
      <c r="O25" s="6"/>
      <c r="P25" s="6"/>
      <c r="Q25" s="6"/>
    </row>
    <row r="26" spans="6:18" x14ac:dyDescent="0.25">
      <c r="L26" s="5" t="s">
        <v>21</v>
      </c>
      <c r="M26" s="6"/>
      <c r="N26" s="6"/>
      <c r="O26" s="6"/>
      <c r="P26" s="6"/>
      <c r="Q26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R26"/>
  <sheetViews>
    <sheetView topLeftCell="A8" zoomScale="70" zoomScaleNormal="70" workbookViewId="0">
      <selection activeCell="M48" sqref="M48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7" t="s">
        <v>9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25">
      <c r="B3" s="5" t="s">
        <v>0</v>
      </c>
      <c r="C3" s="6">
        <v>0.1</v>
      </c>
      <c r="F3" s="7" t="s">
        <v>3</v>
      </c>
      <c r="G3" s="8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8">
        <v>0.04</v>
      </c>
    </row>
    <row r="4" spans="2:17" x14ac:dyDescent="0.25">
      <c r="B4" s="5" t="s">
        <v>1</v>
      </c>
      <c r="C4" s="6">
        <v>0.01</v>
      </c>
      <c r="F4" s="7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25">
      <c r="F5" s="7" t="s">
        <v>12</v>
      </c>
      <c r="G5" s="3">
        <v>41.280773216149747</v>
      </c>
      <c r="H5" s="3">
        <v>45.717606314081436</v>
      </c>
      <c r="I5" s="3">
        <v>49.532606600366329</v>
      </c>
      <c r="J5" s="3">
        <v>54.138512768129949</v>
      </c>
      <c r="K5" s="3">
        <v>59.788149213128563</v>
      </c>
      <c r="L5" s="3">
        <v>66.826492708541025</v>
      </c>
      <c r="M5" s="3">
        <v>75.723230890149111</v>
      </c>
      <c r="N5" s="3">
        <v>87.115484994292402</v>
      </c>
      <c r="O5" s="3">
        <v>101.86655428750973</v>
      </c>
      <c r="P5" s="3">
        <v>121.16005628257571</v>
      </c>
      <c r="Q5" s="3">
        <v>146.68945462563664</v>
      </c>
    </row>
    <row r="6" spans="2:17" x14ac:dyDescent="0.25">
      <c r="B6" s="5" t="s">
        <v>2</v>
      </c>
      <c r="C6" s="6">
        <v>1.4</v>
      </c>
      <c r="F6" s="7" t="s">
        <v>7</v>
      </c>
      <c r="G6" s="3">
        <v>113990.31942438601</v>
      </c>
      <c r="H6" s="3">
        <v>113752.42030745368</v>
      </c>
      <c r="I6" s="3">
        <v>113530.89771086814</v>
      </c>
      <c r="J6" s="3">
        <v>113237.68228326736</v>
      </c>
      <c r="K6" s="3">
        <v>112839.47295681128</v>
      </c>
      <c r="L6" s="3">
        <v>112283.8722802538</v>
      </c>
      <c r="M6" s="3">
        <v>111486.92977450254</v>
      </c>
      <c r="N6" s="3">
        <v>110311.84412478664</v>
      </c>
      <c r="O6" s="3">
        <v>108531.8041834905</v>
      </c>
      <c r="P6" s="3">
        <v>105762.16125499491</v>
      </c>
      <c r="Q6" s="3">
        <v>101325</v>
      </c>
    </row>
    <row r="7" spans="2:17" x14ac:dyDescent="0.25">
      <c r="B7" s="5" t="s">
        <v>3</v>
      </c>
      <c r="C7" s="6">
        <v>286.97199999999998</v>
      </c>
      <c r="F7" s="7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25">
      <c r="B8" s="5" t="s">
        <v>4</v>
      </c>
      <c r="C8" s="6">
        <v>1004.4</v>
      </c>
    </row>
    <row r="10" spans="2:17" x14ac:dyDescent="0.25">
      <c r="B10" s="5" t="s">
        <v>5</v>
      </c>
      <c r="C10" s="6">
        <v>115000</v>
      </c>
      <c r="F10" s="7" t="s">
        <v>14</v>
      </c>
      <c r="G10" s="4">
        <f>G4*G7*G13</f>
        <v>0.9830574325688155</v>
      </c>
      <c r="H10" s="4">
        <f>H4*H7*H13</f>
        <v>0.98256753595119328</v>
      </c>
      <c r="I10" s="4">
        <f t="shared" ref="I10:Q10" si="3">I4*I7*I13</f>
        <v>0.95553111585515449</v>
      </c>
      <c r="J10" s="4">
        <f t="shared" si="3"/>
        <v>0.93164454265286645</v>
      </c>
      <c r="K10" s="4">
        <f t="shared" si="3"/>
        <v>0.91145991742539012</v>
      </c>
      <c r="L10" s="4">
        <f t="shared" si="3"/>
        <v>0.89546187580690784</v>
      </c>
      <c r="M10" s="4">
        <f t="shared" si="3"/>
        <v>0.88395327867129569</v>
      </c>
      <c r="N10" s="4">
        <f t="shared" si="3"/>
        <v>0.87689408479318998</v>
      </c>
      <c r="O10" s="4">
        <f t="shared" si="3"/>
        <v>0.87371926002888034</v>
      </c>
      <c r="P10" s="4">
        <f t="shared" si="3"/>
        <v>0.87322841556419906</v>
      </c>
      <c r="Q10" s="4">
        <f t="shared" si="3"/>
        <v>0.87374061034113049</v>
      </c>
    </row>
    <row r="11" spans="2:17" x14ac:dyDescent="0.25">
      <c r="B11" s="5" t="s">
        <v>6</v>
      </c>
      <c r="C11" s="6">
        <v>288.16000000000003</v>
      </c>
      <c r="F11" s="7" t="s">
        <v>15</v>
      </c>
      <c r="G11" s="4">
        <v>0</v>
      </c>
      <c r="H11" s="4">
        <f>(H13)*(H10-I10)</f>
        <v>1.2354244419956506</v>
      </c>
      <c r="I11" s="4">
        <f t="shared" ref="I11:P11" si="4">(I13)*(I10-J10)</f>
        <v>1.1826751396456769</v>
      </c>
      <c r="J11" s="4">
        <f t="shared" si="4"/>
        <v>1.0924080354811105</v>
      </c>
      <c r="K11" s="4">
        <f t="shared" si="4"/>
        <v>0.95626052018560681</v>
      </c>
      <c r="L11" s="4">
        <f t="shared" si="4"/>
        <v>0.76895117404338431</v>
      </c>
      <c r="M11" s="4">
        <f t="shared" si="4"/>
        <v>0.53449068860144122</v>
      </c>
      <c r="N11" s="4">
        <f t="shared" si="4"/>
        <v>0.27656167026738948</v>
      </c>
      <c r="O11" s="4">
        <f t="shared" si="4"/>
        <v>4.9999436436272415E-2</v>
      </c>
      <c r="P11" s="4">
        <f t="shared" si="4"/>
        <v>-6.20568074127337E-2</v>
      </c>
      <c r="Q11" s="4">
        <v>0</v>
      </c>
    </row>
    <row r="12" spans="2:17" x14ac:dyDescent="0.25">
      <c r="B12" s="5" t="s">
        <v>7</v>
      </c>
      <c r="C12" s="6">
        <v>101325</v>
      </c>
    </row>
    <row r="13" spans="2:17" x14ac:dyDescent="0.25">
      <c r="F13" s="7" t="s">
        <v>12</v>
      </c>
      <c r="G13" s="8">
        <f>(H4*H5*H7)/(G4*G7)</f>
        <v>41.260139698458488</v>
      </c>
      <c r="H13" s="3">
        <f t="shared" ref="H13:Q13" si="5">((G6-H6)/H7+G5*H5)^0.5</f>
        <v>45.694823412536678</v>
      </c>
      <c r="I13" s="3">
        <f t="shared" si="5"/>
        <v>49.512130920997542</v>
      </c>
      <c r="J13" s="3">
        <f t="shared" si="5"/>
        <v>54.120798537000816</v>
      </c>
      <c r="K13" s="3">
        <f t="shared" si="5"/>
        <v>59.773598731038064</v>
      </c>
      <c r="L13" s="3">
        <f t="shared" si="5"/>
        <v>66.815369847637285</v>
      </c>
      <c r="M13" s="3">
        <f t="shared" si="5"/>
        <v>75.715541722005767</v>
      </c>
      <c r="N13" s="3">
        <f t="shared" si="5"/>
        <v>87.110845731206098</v>
      </c>
      <c r="O13" s="3">
        <f t="shared" si="5"/>
        <v>101.8641138567961</v>
      </c>
      <c r="P13" s="3">
        <f t="shared" si="5"/>
        <v>121.15861037185394</v>
      </c>
      <c r="Q13" s="3">
        <f t="shared" si="5"/>
        <v>146.68790835012715</v>
      </c>
    </row>
    <row r="14" spans="2:17" x14ac:dyDescent="0.25">
      <c r="B14" s="5" t="s">
        <v>8</v>
      </c>
      <c r="C14" s="6">
        <v>1000</v>
      </c>
      <c r="F14" s="7" t="s">
        <v>7</v>
      </c>
      <c r="G14" s="8">
        <f>C10-(G7*G13^2)/2</f>
        <v>113991.32851669773</v>
      </c>
      <c r="H14" s="3">
        <f>H6+H11</f>
        <v>113753.65573189568</v>
      </c>
      <c r="I14" s="3">
        <f t="shared" ref="I14:Q14" si="6">I6+I11</f>
        <v>113532.08038600779</v>
      </c>
      <c r="J14" s="3">
        <f t="shared" si="6"/>
        <v>113238.77469130284</v>
      </c>
      <c r="K14" s="3">
        <f t="shared" si="6"/>
        <v>112840.42921733146</v>
      </c>
      <c r="L14" s="3">
        <f t="shared" si="6"/>
        <v>112284.64123142784</v>
      </c>
      <c r="M14" s="3">
        <f t="shared" si="6"/>
        <v>111487.46426519114</v>
      </c>
      <c r="N14" s="3">
        <f t="shared" si="6"/>
        <v>110312.12068645691</v>
      </c>
      <c r="O14" s="3">
        <f t="shared" si="6"/>
        <v>108531.85418292694</v>
      </c>
      <c r="P14" s="3">
        <f t="shared" si="6"/>
        <v>105762.0991981875</v>
      </c>
      <c r="Q14" s="8">
        <f t="shared" si="6"/>
        <v>101325</v>
      </c>
    </row>
    <row r="15" spans="2:17" x14ac:dyDescent="0.25">
      <c r="F15" s="7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25">
      <c r="F17" s="7" t="s">
        <v>16</v>
      </c>
      <c r="G17" s="3">
        <f>$C$11-(G13^2)/(2*$C$8)</f>
        <v>287.31252930708069</v>
      </c>
      <c r="H17" s="3">
        <f t="shared" ref="H17:Q17" si="7">$C$11-(H13^2)/(2*$C$8)</f>
        <v>287.12056507033907</v>
      </c>
      <c r="I17" s="3">
        <f t="shared" si="7"/>
        <v>286.93964401217744</v>
      </c>
      <c r="J17" s="3">
        <f t="shared" si="7"/>
        <v>286.70188528759331</v>
      </c>
      <c r="K17" s="3">
        <f t="shared" si="7"/>
        <v>286.38138435620317</v>
      </c>
      <c r="L17" s="3">
        <f t="shared" si="7"/>
        <v>285.93763159703479</v>
      </c>
      <c r="M17" s="3">
        <f t="shared" si="7"/>
        <v>285.30613537522066</v>
      </c>
      <c r="N17" s="3">
        <f t="shared" si="7"/>
        <v>284.3824714038202</v>
      </c>
      <c r="O17" s="3">
        <f t="shared" si="7"/>
        <v>282.99457900645643</v>
      </c>
      <c r="P17" s="3">
        <f t="shared" si="7"/>
        <v>280.85244879169721</v>
      </c>
      <c r="Q17" s="3">
        <f t="shared" si="7"/>
        <v>277.44845954991274</v>
      </c>
      <c r="R17" s="1"/>
    </row>
    <row r="18" spans="6:18" x14ac:dyDescent="0.25">
      <c r="F18" s="7" t="s">
        <v>17</v>
      </c>
      <c r="G18" s="3">
        <f>SQRT($C$6*$C$7*G17)</f>
        <v>339.75124962895455</v>
      </c>
      <c r="H18" s="3">
        <f t="shared" ref="H18:Q18" si="8">SQRT($C$6*$C$7*H17)</f>
        <v>339.63773041155406</v>
      </c>
      <c r="I18" s="3">
        <f t="shared" si="8"/>
        <v>339.53070690299518</v>
      </c>
      <c r="J18" s="3">
        <f t="shared" si="8"/>
        <v>339.39000986277085</v>
      </c>
      <c r="K18" s="3">
        <f t="shared" si="8"/>
        <v>339.20025660965479</v>
      </c>
      <c r="L18" s="3">
        <f t="shared" si="8"/>
        <v>338.93735648424763</v>
      </c>
      <c r="M18" s="3">
        <f t="shared" si="8"/>
        <v>338.56287627744558</v>
      </c>
      <c r="N18" s="3">
        <f t="shared" si="8"/>
        <v>338.01439202669451</v>
      </c>
      <c r="O18" s="3">
        <f t="shared" si="8"/>
        <v>337.18856513425413</v>
      </c>
      <c r="P18" s="3">
        <f t="shared" si="8"/>
        <v>335.90996488421013</v>
      </c>
      <c r="Q18" s="3">
        <f t="shared" si="8"/>
        <v>333.86811028839003</v>
      </c>
    </row>
    <row r="19" spans="6:18" x14ac:dyDescent="0.25">
      <c r="F19" s="7" t="s">
        <v>18</v>
      </c>
      <c r="G19" s="3">
        <f>G13/G18</f>
        <v>0.12144220144449525</v>
      </c>
      <c r="H19" s="3">
        <f t="shared" ref="H19:Q19" si="9">H13/H18</f>
        <v>0.13453989154021917</v>
      </c>
      <c r="I19" s="3">
        <f t="shared" si="9"/>
        <v>0.14582519316918011</v>
      </c>
      <c r="J19" s="3">
        <f t="shared" si="9"/>
        <v>0.15946491341593716</v>
      </c>
      <c r="K19" s="3">
        <f t="shared" si="9"/>
        <v>0.17621920256924919</v>
      </c>
      <c r="L19" s="3">
        <f t="shared" si="9"/>
        <v>0.1971319141115169</v>
      </c>
      <c r="M19" s="3">
        <f t="shared" si="9"/>
        <v>0.22363805079431798</v>
      </c>
      <c r="N19" s="3">
        <f t="shared" si="9"/>
        <v>0.25771342222708249</v>
      </c>
      <c r="O19" s="3">
        <f t="shared" si="9"/>
        <v>0.30209836391171258</v>
      </c>
      <c r="P19" s="3">
        <f t="shared" si="9"/>
        <v>0.36068775278404713</v>
      </c>
      <c r="Q19" s="3">
        <f t="shared" si="9"/>
        <v>0.43935884808950587</v>
      </c>
    </row>
    <row r="23" spans="6:18" x14ac:dyDescent="0.25">
      <c r="L23" s="2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8" x14ac:dyDescent="0.25">
      <c r="L24" s="5" t="s">
        <v>19</v>
      </c>
      <c r="M24" s="2"/>
      <c r="N24" s="2"/>
      <c r="O24" s="2"/>
      <c r="P24" s="2"/>
      <c r="Q24" s="2"/>
    </row>
    <row r="25" spans="6:18" x14ac:dyDescent="0.25">
      <c r="L25" s="5" t="s">
        <v>20</v>
      </c>
      <c r="M25" s="2"/>
      <c r="N25" s="2"/>
      <c r="O25" s="2"/>
      <c r="P25" s="2"/>
      <c r="Q25" s="2"/>
    </row>
    <row r="26" spans="6:18" x14ac:dyDescent="0.25">
      <c r="L26" s="5" t="s">
        <v>21</v>
      </c>
      <c r="M26" s="2"/>
      <c r="N26" s="2"/>
      <c r="O26" s="2"/>
      <c r="P26" s="2"/>
      <c r="Q2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R26"/>
  <sheetViews>
    <sheetView tabSelected="1" zoomScale="70" zoomScaleNormal="70" workbookViewId="0">
      <selection activeCell="T22" sqref="T22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7" t="s">
        <v>9</v>
      </c>
      <c r="G1" s="7">
        <v>1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>
        <v>8</v>
      </c>
      <c r="O1" s="7">
        <v>9</v>
      </c>
      <c r="P1" s="7">
        <v>10</v>
      </c>
      <c r="Q1" s="7">
        <v>11</v>
      </c>
    </row>
    <row r="2" spans="2:17" x14ac:dyDescent="0.25">
      <c r="F2" s="7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25">
      <c r="B3" s="5" t="s">
        <v>0</v>
      </c>
      <c r="C3" s="6">
        <v>0.1</v>
      </c>
      <c r="F3" s="7" t="s">
        <v>3</v>
      </c>
      <c r="G3" s="8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8">
        <v>0.04</v>
      </c>
    </row>
    <row r="4" spans="2:17" x14ac:dyDescent="0.25">
      <c r="B4" s="5" t="s">
        <v>1</v>
      </c>
      <c r="C4" s="6">
        <v>0.01</v>
      </c>
      <c r="F4" s="7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25">
      <c r="B5" s="9"/>
      <c r="C5" s="9"/>
      <c r="F5" s="7" t="s">
        <v>12</v>
      </c>
      <c r="G5" s="3">
        <v>57.428248184760704</v>
      </c>
      <c r="H5" s="3">
        <v>63.632407960953699</v>
      </c>
      <c r="I5" s="3">
        <v>70.899071833026269</v>
      </c>
      <c r="J5" s="3">
        <v>79.485464615561398</v>
      </c>
      <c r="K5" s="3">
        <v>89.731637788649905</v>
      </c>
      <c r="L5" s="3">
        <v>102.09466343952555</v>
      </c>
      <c r="M5" s="3">
        <v>117.2005064994591</v>
      </c>
      <c r="N5" s="3">
        <v>135.92484777452665</v>
      </c>
      <c r="O5" s="3">
        <v>159.52291162427707</v>
      </c>
      <c r="P5" s="3">
        <v>189.84544854460057</v>
      </c>
      <c r="Q5" s="3">
        <v>229.71299273897273</v>
      </c>
    </row>
    <row r="6" spans="2:17" x14ac:dyDescent="0.25">
      <c r="B6" s="5" t="s">
        <v>2</v>
      </c>
      <c r="C6" s="6">
        <v>1.4</v>
      </c>
      <c r="F6" s="7" t="s">
        <v>7</v>
      </c>
      <c r="G6" s="3">
        <v>133045.93281392951</v>
      </c>
      <c r="H6" s="3">
        <v>132578.11184719813</v>
      </c>
      <c r="I6" s="3">
        <v>131967.60017443288</v>
      </c>
      <c r="J6" s="3">
        <v>131158.84547209844</v>
      </c>
      <c r="K6" s="3">
        <v>130069.34948073192</v>
      </c>
      <c r="L6" s="3">
        <v>128573.64373337128</v>
      </c>
      <c r="M6" s="3">
        <v>126475.7049709665</v>
      </c>
      <c r="N6" s="3">
        <v>123459.75763453866</v>
      </c>
      <c r="O6" s="3">
        <v>118998.90588753944</v>
      </c>
      <c r="P6" s="3">
        <v>112177.34007470035</v>
      </c>
      <c r="Q6" s="3">
        <v>101325</v>
      </c>
    </row>
    <row r="7" spans="2:17" x14ac:dyDescent="0.25">
      <c r="B7" s="5" t="s">
        <v>3</v>
      </c>
      <c r="C7" s="6">
        <v>286.97199999999998</v>
      </c>
      <c r="F7" s="7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25">
      <c r="B8" s="5" t="s">
        <v>4</v>
      </c>
      <c r="C8" s="6">
        <v>1004.4</v>
      </c>
    </row>
    <row r="9" spans="2:17" x14ac:dyDescent="0.25">
      <c r="B9" s="9"/>
      <c r="C9" s="9"/>
    </row>
    <row r="10" spans="2:17" x14ac:dyDescent="0.25">
      <c r="B10" s="5" t="s">
        <v>5</v>
      </c>
      <c r="C10" s="6">
        <v>135000</v>
      </c>
      <c r="F10" s="7" t="s">
        <v>14</v>
      </c>
      <c r="G10" s="4">
        <f>G4*G7*G13</f>
        <v>1.3682761772022025</v>
      </c>
      <c r="H10" s="4">
        <f>H4*H7*H13</f>
        <v>1.3682761772022023</v>
      </c>
      <c r="I10" s="4">
        <f t="shared" ref="I10:Q10" si="3">I4*I7*I13</f>
        <v>1.3682761772019776</v>
      </c>
      <c r="J10" s="4">
        <f t="shared" si="3"/>
        <v>1.3682761772017826</v>
      </c>
      <c r="K10" s="4">
        <f t="shared" si="3"/>
        <v>1.3682761772016117</v>
      </c>
      <c r="L10" s="4">
        <f t="shared" si="3"/>
        <v>1.3682761772015444</v>
      </c>
      <c r="M10" s="4">
        <f t="shared" si="3"/>
        <v>1.3682761772015879</v>
      </c>
      <c r="N10" s="4">
        <f t="shared" si="3"/>
        <v>1.3682761772016485</v>
      </c>
      <c r="O10" s="4">
        <f t="shared" si="3"/>
        <v>1.3682761772017016</v>
      </c>
      <c r="P10" s="4">
        <f t="shared" si="3"/>
        <v>1.3682761772017469</v>
      </c>
      <c r="Q10" s="4">
        <f t="shared" si="3"/>
        <v>1.3682761772017846</v>
      </c>
    </row>
    <row r="11" spans="2:17" x14ac:dyDescent="0.25">
      <c r="B11" s="5" t="s">
        <v>6</v>
      </c>
      <c r="C11" s="6">
        <v>288.16000000000003</v>
      </c>
      <c r="F11" s="7" t="s">
        <v>15</v>
      </c>
      <c r="G11" s="4">
        <v>0</v>
      </c>
      <c r="H11" s="4">
        <f>(H13)*(H10-I10)</f>
        <v>1.4298783680751804E-11</v>
      </c>
      <c r="I11" s="4">
        <f t="shared" ref="I11:P11" si="4">(I13)*(I10-J10)</f>
        <v>1.3822140114560414E-11</v>
      </c>
      <c r="J11" s="4">
        <f t="shared" si="4"/>
        <v>1.3589975312640562E-11</v>
      </c>
      <c r="K11" s="4">
        <f t="shared" si="4"/>
        <v>6.0371010968032034E-12</v>
      </c>
      <c r="L11" s="4">
        <f t="shared" si="4"/>
        <v>-4.4432355648431638E-12</v>
      </c>
      <c r="M11" s="4">
        <f t="shared" si="4"/>
        <v>-7.1044810644132678E-12</v>
      </c>
      <c r="N11" s="4">
        <f t="shared" si="4"/>
        <v>-7.2133496105379602E-12</v>
      </c>
      <c r="O11" s="4">
        <f t="shared" si="4"/>
        <v>-7.2259251851730708E-12</v>
      </c>
      <c r="P11" s="4">
        <f t="shared" si="4"/>
        <v>-7.1662067952132033E-12</v>
      </c>
      <c r="Q11" s="4">
        <v>0</v>
      </c>
    </row>
    <row r="12" spans="2:17" x14ac:dyDescent="0.25">
      <c r="B12" s="5" t="s">
        <v>7</v>
      </c>
      <c r="C12" s="6">
        <v>101325</v>
      </c>
    </row>
    <row r="13" spans="2:17" x14ac:dyDescent="0.25">
      <c r="B13" s="9"/>
      <c r="C13" s="9"/>
      <c r="F13" s="7" t="s">
        <v>12</v>
      </c>
      <c r="G13" s="8">
        <f>(H4*H5*H7)/(G4*G7)</f>
        <v>57.428248184760719</v>
      </c>
      <c r="H13" s="3">
        <f t="shared" ref="H13:Q13" si="5">((G6-H6)/H7+G5*H5)^0.5</f>
        <v>63.632407960953707</v>
      </c>
      <c r="I13" s="3">
        <f t="shared" si="5"/>
        <v>70.899071833026269</v>
      </c>
      <c r="J13" s="3">
        <f t="shared" si="5"/>
        <v>79.485464615561398</v>
      </c>
      <c r="K13" s="3">
        <f t="shared" si="5"/>
        <v>89.731637788649905</v>
      </c>
      <c r="L13" s="3">
        <f t="shared" si="5"/>
        <v>102.09466343952555</v>
      </c>
      <c r="M13" s="3">
        <f t="shared" si="5"/>
        <v>117.20050649945911</v>
      </c>
      <c r="N13" s="3">
        <f t="shared" si="5"/>
        <v>135.92484777452665</v>
      </c>
      <c r="O13" s="3">
        <f t="shared" si="5"/>
        <v>159.52291162427707</v>
      </c>
      <c r="P13" s="3">
        <f t="shared" si="5"/>
        <v>189.84544854460057</v>
      </c>
      <c r="Q13" s="3">
        <f t="shared" si="5"/>
        <v>229.71299273897273</v>
      </c>
    </row>
    <row r="14" spans="2:17" x14ac:dyDescent="0.25">
      <c r="B14" s="5" t="s">
        <v>8</v>
      </c>
      <c r="C14" s="6">
        <v>2000</v>
      </c>
      <c r="F14" s="7" t="s">
        <v>7</v>
      </c>
      <c r="G14" s="8">
        <f>C10-(G7*G13^2)/2</f>
        <v>133045.93281392948</v>
      </c>
      <c r="H14" s="3">
        <f>H6+H11</f>
        <v>132578.11184719813</v>
      </c>
      <c r="I14" s="3">
        <f t="shared" ref="I14:Q14" si="6">I6+I11</f>
        <v>131967.60017443288</v>
      </c>
      <c r="J14" s="3">
        <f t="shared" si="6"/>
        <v>131158.84547209844</v>
      </c>
      <c r="K14" s="3">
        <f t="shared" si="6"/>
        <v>130069.34948073192</v>
      </c>
      <c r="L14" s="3">
        <f t="shared" si="6"/>
        <v>128573.64373337128</v>
      </c>
      <c r="M14" s="3">
        <f t="shared" si="6"/>
        <v>126475.7049709665</v>
      </c>
      <c r="N14" s="3">
        <f t="shared" si="6"/>
        <v>123459.75763453866</v>
      </c>
      <c r="O14" s="3">
        <f t="shared" si="6"/>
        <v>118998.90588753944</v>
      </c>
      <c r="P14" s="3">
        <f t="shared" si="6"/>
        <v>112177.34007470035</v>
      </c>
      <c r="Q14" s="8">
        <f t="shared" si="6"/>
        <v>101325</v>
      </c>
    </row>
    <row r="15" spans="2:17" x14ac:dyDescent="0.25">
      <c r="F15" s="7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25">
      <c r="F17" s="7" t="s">
        <v>16</v>
      </c>
      <c r="G17" s="3">
        <f>$C$11-(G13^2)/(2*$C$8)</f>
        <v>286.51822197850936</v>
      </c>
      <c r="H17" s="3">
        <f t="shared" ref="H17:Q17" si="7">$C$11-(H13^2)/(2*$C$8)</f>
        <v>286.14432728847612</v>
      </c>
      <c r="I17" s="3">
        <f t="shared" si="7"/>
        <v>285.65767105397026</v>
      </c>
      <c r="J17" s="3">
        <f t="shared" si="7"/>
        <v>285.01486903367601</v>
      </c>
      <c r="K17" s="3">
        <f t="shared" si="7"/>
        <v>284.15175287722349</v>
      </c>
      <c r="L17" s="3">
        <f t="shared" si="7"/>
        <v>282.97117069751596</v>
      </c>
      <c r="M17" s="3">
        <f t="shared" si="7"/>
        <v>281.32210736572597</v>
      </c>
      <c r="N17" s="3">
        <f t="shared" si="7"/>
        <v>278.96268606007158</v>
      </c>
      <c r="O17" s="3">
        <f t="shared" si="7"/>
        <v>275.49195971072936</v>
      </c>
      <c r="P17" s="3">
        <f t="shared" si="7"/>
        <v>270.21829632959953</v>
      </c>
      <c r="Q17" s="3">
        <f t="shared" si="7"/>
        <v>261.89155165616523</v>
      </c>
      <c r="R17" s="1"/>
    </row>
    <row r="18" spans="6:18" x14ac:dyDescent="0.25">
      <c r="F18" s="7" t="s">
        <v>17</v>
      </c>
      <c r="G18" s="3">
        <f>SQRT($C$6*$C$7*G17)</f>
        <v>339.28128459533912</v>
      </c>
      <c r="H18" s="3">
        <f t="shared" ref="H18:Q18" si="8">SQRT($C$6*$C$7*H17)</f>
        <v>339.05983815084909</v>
      </c>
      <c r="I18" s="3">
        <f t="shared" si="8"/>
        <v>338.77138965500012</v>
      </c>
      <c r="J18" s="3">
        <f t="shared" si="8"/>
        <v>338.39001432498696</v>
      </c>
      <c r="K18" s="3">
        <f t="shared" si="8"/>
        <v>337.8772492449819</v>
      </c>
      <c r="L18" s="3">
        <f t="shared" si="8"/>
        <v>337.17461932412789</v>
      </c>
      <c r="M18" s="3">
        <f t="shared" si="8"/>
        <v>336.19071211581672</v>
      </c>
      <c r="N18" s="3">
        <f t="shared" si="8"/>
        <v>334.77794419830468</v>
      </c>
      <c r="O18" s="3">
        <f t="shared" si="8"/>
        <v>332.68884881665389</v>
      </c>
      <c r="P18" s="3">
        <f t="shared" si="8"/>
        <v>329.48917874190795</v>
      </c>
      <c r="Q18" s="3">
        <f t="shared" si="8"/>
        <v>324.37287079320038</v>
      </c>
    </row>
    <row r="19" spans="6:18" x14ac:dyDescent="0.25">
      <c r="F19" s="7" t="s">
        <v>18</v>
      </c>
      <c r="G19" s="3">
        <f>G13/G18</f>
        <v>0.16926441508041154</v>
      </c>
      <c r="H19" s="3">
        <f t="shared" ref="H19:Q19" si="9">H13/H18</f>
        <v>0.18767309129854357</v>
      </c>
      <c r="I19" s="3">
        <f t="shared" si="9"/>
        <v>0.20928293828244723</v>
      </c>
      <c r="J19" s="3">
        <f t="shared" si="9"/>
        <v>0.23489305609125988</v>
      </c>
      <c r="K19" s="3">
        <f t="shared" si="9"/>
        <v>0.26557466650732947</v>
      </c>
      <c r="L19" s="3">
        <f t="shared" si="9"/>
        <v>0.30279462803035412</v>
      </c>
      <c r="M19" s="3">
        <f t="shared" si="9"/>
        <v>0.34861315995869591</v>
      </c>
      <c r="N19" s="3">
        <f t="shared" si="9"/>
        <v>0.4060149425316143</v>
      </c>
      <c r="O19" s="3">
        <f t="shared" si="9"/>
        <v>0.47949581776391537</v>
      </c>
      <c r="P19" s="3">
        <f t="shared" si="9"/>
        <v>0.57618113368545054</v>
      </c>
      <c r="Q19" s="3">
        <f t="shared" si="9"/>
        <v>0.70817572436698384</v>
      </c>
    </row>
    <row r="23" spans="6:18" x14ac:dyDescent="0.25">
      <c r="L23" s="6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8" x14ac:dyDescent="0.25">
      <c r="L24" s="5" t="s">
        <v>19</v>
      </c>
      <c r="M24" s="6"/>
      <c r="N24" s="6"/>
      <c r="O24" s="6"/>
      <c r="P24" s="6"/>
      <c r="Q24" s="6"/>
    </row>
    <row r="25" spans="6:18" x14ac:dyDescent="0.25">
      <c r="L25" s="5" t="s">
        <v>20</v>
      </c>
      <c r="M25" s="6"/>
      <c r="N25" s="6"/>
      <c r="O25" s="6"/>
      <c r="P25" s="6"/>
      <c r="Q25" s="6"/>
    </row>
    <row r="26" spans="6:18" x14ac:dyDescent="0.25">
      <c r="L26" s="5" t="s">
        <v>21</v>
      </c>
      <c r="M26" s="6"/>
      <c r="N26" s="6"/>
      <c r="O26" s="6"/>
      <c r="P26" s="6"/>
      <c r="Q26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ro_const_p105</vt:lpstr>
      <vt:lpstr>ro_var_p105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Ксюша Сальникова</cp:lastModifiedBy>
  <dcterms:created xsi:type="dcterms:W3CDTF">2021-04-28T10:23:44Z</dcterms:created>
  <dcterms:modified xsi:type="dcterms:W3CDTF">2021-05-18T09:35:33Z</dcterms:modified>
</cp:coreProperties>
</file>